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atalayyorukoglu/Downloads/"/>
    </mc:Choice>
  </mc:AlternateContent>
  <xr:revisionPtr revIDLastSave="0" documentId="13_ncr:1_{FEA9C25F-0D7F-CF4D-B6F9-38AADC965081}" xr6:coauthVersionLast="47" xr6:coauthVersionMax="47" xr10:uidLastSave="{00000000-0000-0000-0000-000000000000}"/>
  <bookViews>
    <workbookView xWindow="0" yWindow="780" windowWidth="34200" windowHeight="196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5" i="1" l="1"/>
  <c r="C47" i="1"/>
  <c r="E48" i="1"/>
  <c r="D48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" i="1"/>
  <c r="I36" i="1"/>
  <c r="F36" i="1" s="1"/>
  <c r="I37" i="1"/>
  <c r="I38" i="1"/>
  <c r="H38" i="1" s="1"/>
  <c r="I39" i="1"/>
  <c r="H39" i="1" s="1"/>
  <c r="I40" i="1"/>
  <c r="H40" i="1" s="1"/>
  <c r="I41" i="1"/>
  <c r="I42" i="1"/>
  <c r="F42" i="1" s="1"/>
  <c r="I43" i="1"/>
  <c r="I44" i="1"/>
  <c r="F44" i="1" s="1"/>
  <c r="I45" i="1"/>
  <c r="F45" i="1" s="1"/>
  <c r="I46" i="1"/>
  <c r="F46" i="1" s="1"/>
  <c r="I4" i="1"/>
  <c r="H4" i="1" s="1"/>
  <c r="I5" i="1"/>
  <c r="H5" i="1" s="1"/>
  <c r="I6" i="1"/>
  <c r="F6" i="1" s="1"/>
  <c r="I7" i="1"/>
  <c r="I8" i="1"/>
  <c r="F8" i="1" s="1"/>
  <c r="I9" i="1"/>
  <c r="F9" i="1" s="1"/>
  <c r="I10" i="1"/>
  <c r="F10" i="1" s="1"/>
  <c r="I11" i="1"/>
  <c r="F11" i="1" s="1"/>
  <c r="I12" i="1"/>
  <c r="F12" i="1" s="1"/>
  <c r="I13" i="1"/>
  <c r="F13" i="1" s="1"/>
  <c r="I14" i="1"/>
  <c r="F14" i="1" s="1"/>
  <c r="I15" i="1"/>
  <c r="F15" i="1" s="1"/>
  <c r="I16" i="1"/>
  <c r="I17" i="1"/>
  <c r="F17" i="1" s="1"/>
  <c r="I18" i="1"/>
  <c r="F18" i="1" s="1"/>
  <c r="I19" i="1"/>
  <c r="H19" i="1" s="1"/>
  <c r="I20" i="1"/>
  <c r="F20" i="1" s="1"/>
  <c r="I21" i="1"/>
  <c r="F21" i="1" s="1"/>
  <c r="I22" i="1"/>
  <c r="F22" i="1" s="1"/>
  <c r="I23" i="1"/>
  <c r="F23" i="1" s="1"/>
  <c r="I24" i="1"/>
  <c r="F24" i="1" s="1"/>
  <c r="I25" i="1"/>
  <c r="F25" i="1" s="1"/>
  <c r="I26" i="1"/>
  <c r="F26" i="1" s="1"/>
  <c r="I27" i="1"/>
  <c r="F27" i="1" s="1"/>
  <c r="I28" i="1"/>
  <c r="H28" i="1" s="1"/>
  <c r="I29" i="1"/>
  <c r="H29" i="1" s="1"/>
  <c r="I30" i="1"/>
  <c r="I31" i="1"/>
  <c r="I32" i="1"/>
  <c r="I33" i="1"/>
  <c r="F33" i="1" s="1"/>
  <c r="I34" i="1"/>
  <c r="F34" i="1" s="1"/>
  <c r="I35" i="1"/>
  <c r="F35" i="1" s="1"/>
  <c r="I3" i="1"/>
  <c r="H27" i="1" l="1"/>
  <c r="H15" i="1"/>
  <c r="F19" i="1"/>
  <c r="H41" i="1"/>
  <c r="H35" i="1"/>
  <c r="H14" i="1"/>
  <c r="H13" i="1"/>
  <c r="F38" i="1"/>
  <c r="H32" i="1"/>
  <c r="H16" i="1"/>
  <c r="H43" i="1"/>
  <c r="H26" i="1"/>
  <c r="H11" i="1"/>
  <c r="F28" i="1"/>
  <c r="H31" i="1"/>
  <c r="H7" i="1"/>
  <c r="H25" i="1"/>
  <c r="H3" i="1"/>
  <c r="F32" i="1"/>
  <c r="F16" i="1"/>
  <c r="F31" i="1"/>
  <c r="H42" i="1"/>
  <c r="F29" i="1"/>
  <c r="F7" i="1"/>
  <c r="H37" i="1"/>
  <c r="F5" i="1"/>
  <c r="H33" i="1"/>
  <c r="H17" i="1"/>
  <c r="H23" i="1"/>
  <c r="F3" i="1"/>
  <c r="F4" i="1"/>
  <c r="H30" i="1"/>
  <c r="H46" i="1"/>
  <c r="H45" i="1"/>
  <c r="H44" i="1"/>
  <c r="F43" i="1"/>
  <c r="H36" i="1"/>
  <c r="H24" i="1"/>
  <c r="H12" i="1"/>
  <c r="F30" i="1"/>
  <c r="F41" i="1"/>
  <c r="H34" i="1"/>
  <c r="H22" i="1"/>
  <c r="H10" i="1"/>
  <c r="F40" i="1"/>
  <c r="H21" i="1"/>
  <c r="H9" i="1"/>
  <c r="F39" i="1"/>
  <c r="F37" i="1"/>
  <c r="H20" i="1"/>
  <c r="H8" i="1"/>
  <c r="H18" i="1"/>
  <c r="H6" i="1"/>
  <c r="H47" i="1" l="1"/>
  <c r="H56" i="1" s="1"/>
  <c r="F47" i="1"/>
</calcChain>
</file>

<file path=xl/sharedStrings.xml><?xml version="1.0" encoding="utf-8"?>
<sst xmlns="http://schemas.openxmlformats.org/spreadsheetml/2006/main" count="101" uniqueCount="83">
  <si>
    <t>FATURA TARİHİ</t>
  </si>
  <si>
    <t>FATURA SAHİBİ</t>
  </si>
  <si>
    <t>Fatura Tutarı</t>
  </si>
  <si>
    <t>26 Nisan 2024</t>
  </si>
  <si>
    <t>Nymrod Roque Sanchez</t>
  </si>
  <si>
    <t>20 Nisan 2024</t>
  </si>
  <si>
    <t>Kane Darren Potter</t>
  </si>
  <si>
    <t>Tara Oseland</t>
  </si>
  <si>
    <t>Craig Lee Cohen</t>
  </si>
  <si>
    <t>30 Mart 2024</t>
  </si>
  <si>
    <t>Alexandru Patraucean</t>
  </si>
  <si>
    <t>29 Mart 2024</t>
  </si>
  <si>
    <t>Michael Peter Cullis</t>
  </si>
  <si>
    <t>27 Mart 2024</t>
  </si>
  <si>
    <t>Kris Kenneth Nevins Snowdon</t>
  </si>
  <si>
    <t>Joel Walker</t>
  </si>
  <si>
    <t>26 Mart 2024</t>
  </si>
  <si>
    <t>Dannie James Woolley</t>
  </si>
  <si>
    <t>25 Mart 2024</t>
  </si>
  <si>
    <t>Susan Catherine Kavanagh</t>
  </si>
  <si>
    <t>23 Mart 2024</t>
  </si>
  <si>
    <t>Daniel James Ford</t>
  </si>
  <si>
    <t>20 Mart 2024</t>
  </si>
  <si>
    <t>Anthony Doherty</t>
  </si>
  <si>
    <t>19 Mart 2024</t>
  </si>
  <si>
    <t>Bonaventure Andrew Ferreira</t>
  </si>
  <si>
    <t>18 Mart 2024</t>
  </si>
  <si>
    <t>Mario Narciso</t>
  </si>
  <si>
    <t>15 Mart 2024</t>
  </si>
  <si>
    <t>Alina Cozma</t>
  </si>
  <si>
    <t>13 Mart 2024</t>
  </si>
  <si>
    <t>Katrina Helen Mckinlay</t>
  </si>
  <si>
    <t>9 Mart 2024</t>
  </si>
  <si>
    <t>Daniel Paun</t>
  </si>
  <si>
    <t>8 Mart 2024</t>
  </si>
  <si>
    <t>Karl James Eldridge</t>
  </si>
  <si>
    <t>Shirley Tyreman</t>
  </si>
  <si>
    <t>27 Şubat 2024</t>
  </si>
  <si>
    <t>David Whitfield</t>
  </si>
  <si>
    <t>26 Şubat 2024</t>
  </si>
  <si>
    <t>Lee Maslin</t>
  </si>
  <si>
    <t>24 Şubat 2024</t>
  </si>
  <si>
    <t>Joshua Harvey Tyler</t>
  </si>
  <si>
    <t>Natasha Helen Tyler</t>
  </si>
  <si>
    <t>Richard Anthony Lockwood</t>
  </si>
  <si>
    <t>17 Şubat 2024</t>
  </si>
  <si>
    <t>David Donis</t>
  </si>
  <si>
    <t>Luba Donis</t>
  </si>
  <si>
    <t>Cindy Lee Crawford</t>
  </si>
  <si>
    <t>Alina Rizea</t>
  </si>
  <si>
    <t>Junior Leonardo Edgar Hopkinson</t>
  </si>
  <si>
    <t>15 Şubat 2024</t>
  </si>
  <si>
    <t>Suzanne Spears</t>
  </si>
  <si>
    <t>Roderick Jones</t>
  </si>
  <si>
    <t>9 Şubat 2024</t>
  </si>
  <si>
    <t>Ioana Farkas Sandor</t>
  </si>
  <si>
    <t>31 Ocak 2024</t>
  </si>
  <si>
    <t>Muhammad Sohail Kaini</t>
  </si>
  <si>
    <t>Damien Daniel Tynan</t>
  </si>
  <si>
    <t>20 Ocak 2024</t>
  </si>
  <si>
    <t>Simon John Kay</t>
  </si>
  <si>
    <t>Gail Fletcher</t>
  </si>
  <si>
    <t>Llyod Colbert Miller</t>
  </si>
  <si>
    <t>Angela Connolly</t>
  </si>
  <si>
    <t>17 Ocak 2024</t>
  </si>
  <si>
    <t>Louise Jones</t>
  </si>
  <si>
    <t>Stuart Anthony Biswell</t>
  </si>
  <si>
    <t>13 Ocak 2024</t>
  </si>
  <si>
    <t>Emma Louise Mellors</t>
  </si>
  <si>
    <t>6 Ocak 2024</t>
  </si>
  <si>
    <t>Stuart Duncan</t>
  </si>
  <si>
    <t>Nicola Andrews</t>
  </si>
  <si>
    <t>KK ÖD.</t>
  </si>
  <si>
    <t xml:space="preserve">Alexandru Patraucean </t>
  </si>
  <si>
    <t>KUR</t>
  </si>
  <si>
    <t xml:space="preserve">ORBİSİN KESMESİ GEREKN </t>
  </si>
  <si>
    <t>ORBİS HAK. GBP</t>
  </si>
  <si>
    <t>TEDAVİ GBP (OGN Kah.)</t>
  </si>
  <si>
    <t>TEDAVİ TL (OGN Kah.)</t>
  </si>
  <si>
    <t>Kesilmesi Gereken</t>
  </si>
  <si>
    <t>Orbis'in Kestiği Faturalar</t>
  </si>
  <si>
    <t>Orbisin Keseceği Toplam</t>
  </si>
  <si>
    <t>2024 Orbisin Kestiği Faturalar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</si>
</sst>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TRY]\ #,##0.00"/>
  </numFmts>
  <fonts count="5" x14ac:knownFonts="1">
    <font>
      <sz val="11"/>
      <name val="Calibri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b/>
      <sz val="18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4" fontId="0" fillId="0" borderId="0" xfId="0" applyNumberFormat="1"/>
    <xf numFmtId="0" fontId="0" fillId="2" borderId="1" xfId="0" applyFill="1" applyBorder="1"/>
    <xf numFmtId="2" fontId="0" fillId="2" borderId="1" xfId="0" applyNumberFormat="1" applyFill="1" applyBorder="1"/>
    <xf numFmtId="2" fontId="0" fillId="0" borderId="1" xfId="0" applyNumberFormat="1" applyBorder="1"/>
    <xf numFmtId="0" fontId="2" fillId="2" borderId="1" xfId="0" applyFont="1" applyFill="1" applyBorder="1"/>
    <xf numFmtId="4" fontId="1" fillId="0" borderId="1" xfId="0" applyNumberFormat="1" applyFont="1" applyBorder="1"/>
    <xf numFmtId="0" fontId="2" fillId="0" borderId="0" xfId="0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3" borderId="1" xfId="0" applyFont="1" applyFill="1" applyBorder="1"/>
    <xf numFmtId="0" fontId="2" fillId="4" borderId="1" xfId="0" applyFont="1" applyFill="1" applyBorder="1"/>
    <xf numFmtId="0" fontId="0" fillId="0" borderId="0" xfId="0"/>
    <xf numFmtId="0" fontId="4" fillId="0" borderId="0" xfId="0" applyFont="1"/>
    <xf numFmtId="14" fontId="0" fillId="0" borderId="0" xfId="0" applyNumberFormat="1"/>
    <xf numFmtId="164" fontId="1" fillId="3" borderId="1" xfId="0" applyNumberFormat="1" applyFont="1" applyFill="1" applyBorder="1"/>
    <xf numFmtId="0" fontId="4" fillId="4" borderId="0" xfId="0" applyFont="1" applyFill="1"/>
    <xf numFmtId="164" fontId="1" fillId="4" borderId="1" xfId="0" applyNumberFormat="1" applyFont="1" applyFill="1" applyBorder="1"/>
    <xf numFmtId="164" fontId="1" fillId="3" borderId="1" xfId="0" applyNumberFormat="1" applyFont="1" applyFill="1" applyBorder="1" applyAlignment="1">
      <alignment horizontal="right"/>
    </xf>
    <xf numFmtId="0" fontId="3" fillId="5" borderId="0" xfId="0" applyFont="1" applyFill="1"/>
    <xf numFmtId="164" fontId="3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6"/>
  <sheetViews>
    <sheetView tabSelected="1" topLeftCell="A16" workbookViewId="0">
      <selection activeCell="Q45" sqref="Q45"/>
    </sheetView>
  </sheetViews>
  <sheetFormatPr baseColWidth="10" defaultColWidth="8.83203125" defaultRowHeight="15" x14ac:dyDescent="0.2"/>
  <cols>
    <col min="1" max="1" width="16.83203125" customWidth="1"/>
    <col min="2" max="2" width="30.83203125" customWidth="1"/>
    <col min="3" max="3" width="11.6640625" bestFit="1" customWidth="1"/>
    <col min="4" max="4" width="10.5" customWidth="1"/>
    <col min="5" max="5" width="19.5" bestFit="1" customWidth="1"/>
    <col min="6" max="6" width="18" bestFit="1" customWidth="1"/>
    <col min="7" max="7" width="24.5" bestFit="1" customWidth="1"/>
    <col min="8" max="8" width="21.5" bestFit="1" customWidth="1"/>
  </cols>
  <sheetData>
    <row r="1" spans="1:9" x14ac:dyDescent="0.2">
      <c r="A1" s="17"/>
      <c r="B1" s="17"/>
      <c r="C1" s="17"/>
      <c r="D1" s="17"/>
    </row>
    <row r="2" spans="1:9" x14ac:dyDescent="0.2">
      <c r="A2" s="2" t="s">
        <v>0</v>
      </c>
      <c r="B2" s="2" t="s">
        <v>1</v>
      </c>
      <c r="C2" s="2" t="s">
        <v>2</v>
      </c>
      <c r="D2" s="2" t="s">
        <v>72</v>
      </c>
      <c r="E2" s="15" t="s">
        <v>77</v>
      </c>
      <c r="F2" s="15" t="s">
        <v>78</v>
      </c>
      <c r="G2" s="16" t="s">
        <v>76</v>
      </c>
      <c r="H2" s="16" t="s">
        <v>75</v>
      </c>
      <c r="I2" s="10" t="s">
        <v>74</v>
      </c>
    </row>
    <row r="3" spans="1:9" x14ac:dyDescent="0.2">
      <c r="A3" s="4" t="s">
        <v>3</v>
      </c>
      <c r="B3" s="4" t="s">
        <v>4</v>
      </c>
      <c r="C3" s="5">
        <v>26219.57</v>
      </c>
      <c r="D3" s="4">
        <v>650</v>
      </c>
      <c r="E3" s="4">
        <v>485</v>
      </c>
      <c r="F3" s="1">
        <f t="shared" ref="F3:F46" si="0">E3*I3</f>
        <v>19563.833000000002</v>
      </c>
      <c r="G3" s="1">
        <f t="shared" ref="G3:G46" si="1">D3-E3</f>
        <v>165</v>
      </c>
      <c r="H3" s="1">
        <f t="shared" ref="H3:H46" si="2">I3*G3</f>
        <v>6655.7370000000001</v>
      </c>
      <c r="I3" s="1">
        <f t="shared" ref="I3:I46" si="3">C3/D3</f>
        <v>40.337800000000001</v>
      </c>
    </row>
    <row r="4" spans="1:9" x14ac:dyDescent="0.2">
      <c r="A4" s="4" t="s">
        <v>5</v>
      </c>
      <c r="B4" s="4" t="s">
        <v>6</v>
      </c>
      <c r="C4" s="5">
        <v>162192.79999999999</v>
      </c>
      <c r="D4" s="4">
        <v>4000</v>
      </c>
      <c r="E4" s="4">
        <v>1095</v>
      </c>
      <c r="F4" s="1">
        <f t="shared" si="0"/>
        <v>44400.278999999995</v>
      </c>
      <c r="G4" s="1">
        <f t="shared" si="1"/>
        <v>2905</v>
      </c>
      <c r="H4" s="1">
        <f t="shared" si="2"/>
        <v>117792.52099999998</v>
      </c>
      <c r="I4" s="1">
        <f t="shared" si="3"/>
        <v>40.548199999999994</v>
      </c>
    </row>
    <row r="5" spans="1:9" x14ac:dyDescent="0.2">
      <c r="A5" s="4" t="s">
        <v>5</v>
      </c>
      <c r="B5" s="4" t="s">
        <v>7</v>
      </c>
      <c r="C5" s="5">
        <v>169402.34</v>
      </c>
      <c r="D5" s="4">
        <v>4175</v>
      </c>
      <c r="E5" s="4">
        <v>2525</v>
      </c>
      <c r="F5" s="1">
        <f t="shared" si="0"/>
        <v>102452.91221556887</v>
      </c>
      <c r="G5" s="1">
        <f t="shared" si="1"/>
        <v>1650</v>
      </c>
      <c r="H5" s="1">
        <f t="shared" si="2"/>
        <v>66949.427784431144</v>
      </c>
      <c r="I5" s="1">
        <f t="shared" si="3"/>
        <v>40.575410778443114</v>
      </c>
    </row>
    <row r="6" spans="1:9" x14ac:dyDescent="0.2">
      <c r="A6" s="4" t="s">
        <v>5</v>
      </c>
      <c r="B6" s="4" t="s">
        <v>8</v>
      </c>
      <c r="C6" s="5">
        <v>121442.14</v>
      </c>
      <c r="D6" s="4">
        <v>2990</v>
      </c>
      <c r="E6" s="4">
        <v>1920</v>
      </c>
      <c r="F6" s="1">
        <f t="shared" si="0"/>
        <v>77982.912642140465</v>
      </c>
      <c r="G6" s="1">
        <f t="shared" si="1"/>
        <v>1070</v>
      </c>
      <c r="H6" s="1">
        <f t="shared" si="2"/>
        <v>43459.227357859534</v>
      </c>
      <c r="I6" s="1">
        <f t="shared" si="3"/>
        <v>40.616100334448163</v>
      </c>
    </row>
    <row r="7" spans="1:9" x14ac:dyDescent="0.2">
      <c r="A7" s="1" t="s">
        <v>9</v>
      </c>
      <c r="B7" s="1" t="s">
        <v>10</v>
      </c>
      <c r="C7" s="6">
        <v>57900.1</v>
      </c>
      <c r="D7" s="1">
        <v>1416</v>
      </c>
      <c r="E7" s="1">
        <v>0</v>
      </c>
      <c r="F7" s="1">
        <f t="shared" si="0"/>
        <v>0</v>
      </c>
      <c r="G7" s="1">
        <f t="shared" si="1"/>
        <v>1416</v>
      </c>
      <c r="H7" s="1">
        <f t="shared" si="2"/>
        <v>57900.1</v>
      </c>
      <c r="I7" s="1">
        <f t="shared" si="3"/>
        <v>40.889901129943503</v>
      </c>
    </row>
    <row r="8" spans="1:9" x14ac:dyDescent="0.2">
      <c r="A8" s="4" t="s">
        <v>11</v>
      </c>
      <c r="B8" s="4" t="s">
        <v>12</v>
      </c>
      <c r="C8" s="5">
        <v>155121.70000000001</v>
      </c>
      <c r="D8" s="4">
        <v>3800</v>
      </c>
      <c r="E8" s="4">
        <v>2130</v>
      </c>
      <c r="F8" s="1">
        <f t="shared" si="0"/>
        <v>86949.794999999998</v>
      </c>
      <c r="G8" s="1">
        <f t="shared" si="1"/>
        <v>1670</v>
      </c>
      <c r="H8" s="1">
        <f t="shared" si="2"/>
        <v>68171.904999999999</v>
      </c>
      <c r="I8" s="1">
        <f t="shared" si="3"/>
        <v>40.8215</v>
      </c>
    </row>
    <row r="9" spans="1:9" x14ac:dyDescent="0.2">
      <c r="A9" s="4" t="s">
        <v>11</v>
      </c>
      <c r="B9" s="7" t="s">
        <v>73</v>
      </c>
      <c r="C9" s="5">
        <v>162939.4</v>
      </c>
      <c r="D9" s="4">
        <v>4000</v>
      </c>
      <c r="E9" s="4">
        <v>2700</v>
      </c>
      <c r="F9" s="1">
        <f t="shared" si="0"/>
        <v>109984.095</v>
      </c>
      <c r="G9" s="1">
        <f t="shared" si="1"/>
        <v>1300</v>
      </c>
      <c r="H9" s="1">
        <f t="shared" si="2"/>
        <v>52955.305</v>
      </c>
      <c r="I9" s="1">
        <f t="shared" si="3"/>
        <v>40.734850000000002</v>
      </c>
    </row>
    <row r="10" spans="1:9" x14ac:dyDescent="0.2">
      <c r="A10" s="4" t="s">
        <v>13</v>
      </c>
      <c r="B10" s="4" t="s">
        <v>14</v>
      </c>
      <c r="C10" s="5">
        <v>4127.05</v>
      </c>
      <c r="D10" s="4">
        <v>100</v>
      </c>
      <c r="E10" s="4">
        <v>30</v>
      </c>
      <c r="F10" s="1">
        <f t="shared" si="0"/>
        <v>1238.115</v>
      </c>
      <c r="G10" s="1">
        <f t="shared" si="1"/>
        <v>70</v>
      </c>
      <c r="H10" s="1">
        <f t="shared" si="2"/>
        <v>2888.9349999999999</v>
      </c>
      <c r="I10" s="1">
        <f t="shared" si="3"/>
        <v>41.270499999999998</v>
      </c>
    </row>
    <row r="11" spans="1:9" x14ac:dyDescent="0.2">
      <c r="A11" s="1" t="s">
        <v>13</v>
      </c>
      <c r="B11" s="1" t="s">
        <v>15</v>
      </c>
      <c r="C11" s="6">
        <v>35079.93</v>
      </c>
      <c r="D11" s="1">
        <v>850</v>
      </c>
      <c r="E11" s="1">
        <v>0</v>
      </c>
      <c r="F11" s="1">
        <f t="shared" si="0"/>
        <v>0</v>
      </c>
      <c r="G11" s="1">
        <f t="shared" si="1"/>
        <v>850</v>
      </c>
      <c r="H11" s="1">
        <f t="shared" si="2"/>
        <v>35079.93</v>
      </c>
      <c r="I11" s="1">
        <f t="shared" si="3"/>
        <v>41.270505882352943</v>
      </c>
    </row>
    <row r="12" spans="1:9" x14ac:dyDescent="0.2">
      <c r="A12" s="4" t="s">
        <v>16</v>
      </c>
      <c r="B12" s="4" t="s">
        <v>17</v>
      </c>
      <c r="C12" s="5">
        <v>16467.8</v>
      </c>
      <c r="D12" s="4">
        <v>400</v>
      </c>
      <c r="E12" s="4">
        <v>350</v>
      </c>
      <c r="F12" s="1">
        <f t="shared" si="0"/>
        <v>14409.324999999999</v>
      </c>
      <c r="G12" s="1">
        <f t="shared" si="1"/>
        <v>50</v>
      </c>
      <c r="H12" s="1">
        <f t="shared" si="2"/>
        <v>2058.4749999999999</v>
      </c>
      <c r="I12" s="1">
        <f t="shared" si="3"/>
        <v>41.169499999999999</v>
      </c>
    </row>
    <row r="13" spans="1:9" x14ac:dyDescent="0.2">
      <c r="A13" s="4" t="s">
        <v>18</v>
      </c>
      <c r="B13" s="4" t="s">
        <v>19</v>
      </c>
      <c r="C13" s="5">
        <v>173386.92</v>
      </c>
      <c r="D13" s="4">
        <v>4200</v>
      </c>
      <c r="E13" s="4">
        <v>1720</v>
      </c>
      <c r="F13" s="1">
        <f t="shared" si="0"/>
        <v>71006.072</v>
      </c>
      <c r="G13" s="1">
        <f t="shared" si="1"/>
        <v>2480</v>
      </c>
      <c r="H13" s="1">
        <f t="shared" si="2"/>
        <v>102380.848</v>
      </c>
      <c r="I13" s="1">
        <f t="shared" si="3"/>
        <v>41.282600000000002</v>
      </c>
    </row>
    <row r="14" spans="1:9" x14ac:dyDescent="0.2">
      <c r="A14" s="4" t="s">
        <v>20</v>
      </c>
      <c r="B14" s="4" t="s">
        <v>21</v>
      </c>
      <c r="C14" s="5">
        <v>191757.68</v>
      </c>
      <c r="D14" s="4">
        <v>4645</v>
      </c>
      <c r="E14" s="4">
        <v>2650</v>
      </c>
      <c r="F14" s="1">
        <f t="shared" si="0"/>
        <v>109398.89171151776</v>
      </c>
      <c r="G14" s="1">
        <f t="shared" si="1"/>
        <v>1995</v>
      </c>
      <c r="H14" s="1">
        <f t="shared" si="2"/>
        <v>82358.788288482232</v>
      </c>
      <c r="I14" s="1">
        <f t="shared" si="3"/>
        <v>41.282600645855759</v>
      </c>
    </row>
    <row r="15" spans="1:9" x14ac:dyDescent="0.2">
      <c r="A15" s="1" t="s">
        <v>22</v>
      </c>
      <c r="B15" s="1" t="s">
        <v>23</v>
      </c>
      <c r="C15" s="6">
        <v>74138.22</v>
      </c>
      <c r="D15" s="1">
        <v>1800</v>
      </c>
      <c r="E15" s="1">
        <v>0</v>
      </c>
      <c r="F15" s="1">
        <f t="shared" si="0"/>
        <v>0</v>
      </c>
      <c r="G15" s="1">
        <f t="shared" si="1"/>
        <v>1800</v>
      </c>
      <c r="H15" s="1">
        <f t="shared" si="2"/>
        <v>74138.22</v>
      </c>
      <c r="I15" s="1">
        <f t="shared" si="3"/>
        <v>41.187899999999999</v>
      </c>
    </row>
    <row r="16" spans="1:9" x14ac:dyDescent="0.2">
      <c r="A16" s="4" t="s">
        <v>24</v>
      </c>
      <c r="B16" s="4" t="s">
        <v>25</v>
      </c>
      <c r="C16" s="5">
        <v>148566.24</v>
      </c>
      <c r="D16" s="4">
        <v>3600</v>
      </c>
      <c r="E16" s="4">
        <v>1770</v>
      </c>
      <c r="F16" s="1">
        <f t="shared" si="0"/>
        <v>73045.067999999999</v>
      </c>
      <c r="G16" s="1">
        <f t="shared" si="1"/>
        <v>1830</v>
      </c>
      <c r="H16" s="1">
        <f t="shared" si="2"/>
        <v>75521.172000000006</v>
      </c>
      <c r="I16" s="1">
        <f t="shared" si="3"/>
        <v>41.2684</v>
      </c>
    </row>
    <row r="17" spans="1:9" x14ac:dyDescent="0.2">
      <c r="A17" s="4" t="s">
        <v>26</v>
      </c>
      <c r="B17" s="4" t="s">
        <v>27</v>
      </c>
      <c r="C17" s="5">
        <v>49522.080000000002</v>
      </c>
      <c r="D17" s="4">
        <v>1200</v>
      </c>
      <c r="E17" s="4">
        <v>650</v>
      </c>
      <c r="F17" s="1">
        <f t="shared" si="0"/>
        <v>26824.46</v>
      </c>
      <c r="G17" s="1">
        <f t="shared" si="1"/>
        <v>550</v>
      </c>
      <c r="H17" s="1">
        <f t="shared" si="2"/>
        <v>22697.62</v>
      </c>
      <c r="I17" s="1">
        <f t="shared" si="3"/>
        <v>41.2684</v>
      </c>
    </row>
    <row r="18" spans="1:9" x14ac:dyDescent="0.2">
      <c r="A18" s="4" t="s">
        <v>28</v>
      </c>
      <c r="B18" s="4" t="s">
        <v>29</v>
      </c>
      <c r="C18" s="5">
        <v>58408.01</v>
      </c>
      <c r="D18" s="4">
        <v>1420</v>
      </c>
      <c r="E18" s="4">
        <v>340</v>
      </c>
      <c r="F18" s="1">
        <f t="shared" si="0"/>
        <v>13985.01647887324</v>
      </c>
      <c r="G18" s="1">
        <f t="shared" si="1"/>
        <v>1080</v>
      </c>
      <c r="H18" s="1">
        <f t="shared" si="2"/>
        <v>44422.993521126758</v>
      </c>
      <c r="I18" s="1">
        <f t="shared" si="3"/>
        <v>41.132401408450704</v>
      </c>
    </row>
    <row r="19" spans="1:9" x14ac:dyDescent="0.2">
      <c r="A19" s="1" t="s">
        <v>30</v>
      </c>
      <c r="B19" s="1" t="s">
        <v>31</v>
      </c>
      <c r="C19" s="6">
        <v>2849.53</v>
      </c>
      <c r="D19" s="1">
        <v>70</v>
      </c>
      <c r="E19" s="1">
        <v>0</v>
      </c>
      <c r="F19" s="1">
        <f t="shared" si="0"/>
        <v>0</v>
      </c>
      <c r="G19" s="1">
        <f t="shared" si="1"/>
        <v>70</v>
      </c>
      <c r="H19" s="1">
        <f t="shared" si="2"/>
        <v>2849.53</v>
      </c>
      <c r="I19" s="1">
        <f t="shared" si="3"/>
        <v>40.707571428571434</v>
      </c>
    </row>
    <row r="20" spans="1:9" x14ac:dyDescent="0.2">
      <c r="A20" s="4" t="s">
        <v>32</v>
      </c>
      <c r="B20" s="4" t="s">
        <v>33</v>
      </c>
      <c r="C20" s="5">
        <v>121804.49</v>
      </c>
      <c r="D20" s="4">
        <v>3030</v>
      </c>
      <c r="E20" s="4">
        <v>2330</v>
      </c>
      <c r="F20" s="1">
        <f t="shared" si="0"/>
        <v>93664.838844884493</v>
      </c>
      <c r="G20" s="1">
        <f t="shared" si="1"/>
        <v>700</v>
      </c>
      <c r="H20" s="1">
        <f t="shared" si="2"/>
        <v>28139.651155115513</v>
      </c>
      <c r="I20" s="1">
        <f t="shared" si="3"/>
        <v>40.199501650165018</v>
      </c>
    </row>
    <row r="21" spans="1:9" x14ac:dyDescent="0.2">
      <c r="A21" s="4" t="s">
        <v>34</v>
      </c>
      <c r="B21" s="4" t="s">
        <v>35</v>
      </c>
      <c r="C21" s="5">
        <v>247875</v>
      </c>
      <c r="D21" s="4">
        <v>6250</v>
      </c>
      <c r="E21" s="4">
        <v>3025</v>
      </c>
      <c r="F21" s="1">
        <f t="shared" si="0"/>
        <v>119971.49999999999</v>
      </c>
      <c r="G21" s="1">
        <f t="shared" si="1"/>
        <v>3225</v>
      </c>
      <c r="H21" s="1">
        <f t="shared" si="2"/>
        <v>127903.49999999999</v>
      </c>
      <c r="I21" s="1">
        <f t="shared" si="3"/>
        <v>39.659999999999997</v>
      </c>
    </row>
    <row r="22" spans="1:9" x14ac:dyDescent="0.2">
      <c r="A22" s="4" t="s">
        <v>34</v>
      </c>
      <c r="B22" s="4" t="s">
        <v>36</v>
      </c>
      <c r="C22" s="5">
        <v>130878</v>
      </c>
      <c r="D22" s="4">
        <v>3300</v>
      </c>
      <c r="E22" s="4">
        <v>2170</v>
      </c>
      <c r="F22" s="1">
        <f t="shared" si="0"/>
        <v>86062.2</v>
      </c>
      <c r="G22" s="1">
        <f t="shared" si="1"/>
        <v>1130</v>
      </c>
      <c r="H22" s="1">
        <f t="shared" si="2"/>
        <v>44815.799999999996</v>
      </c>
      <c r="I22" s="1">
        <f t="shared" si="3"/>
        <v>39.659999999999997</v>
      </c>
    </row>
    <row r="23" spans="1:9" x14ac:dyDescent="0.2">
      <c r="A23" s="4" t="s">
        <v>37</v>
      </c>
      <c r="B23" s="4" t="s">
        <v>38</v>
      </c>
      <c r="C23" s="5">
        <v>152291.06</v>
      </c>
      <c r="D23" s="4">
        <v>3900</v>
      </c>
      <c r="E23" s="4">
        <v>2330</v>
      </c>
      <c r="F23" s="1">
        <f t="shared" si="0"/>
        <v>90984.146102564104</v>
      </c>
      <c r="G23" s="1">
        <f t="shared" si="1"/>
        <v>1570</v>
      </c>
      <c r="H23" s="1">
        <f t="shared" si="2"/>
        <v>61306.913897435894</v>
      </c>
      <c r="I23" s="1">
        <f t="shared" si="3"/>
        <v>39.048989743589743</v>
      </c>
    </row>
    <row r="24" spans="1:9" x14ac:dyDescent="0.2">
      <c r="A24" s="4" t="s">
        <v>39</v>
      </c>
      <c r="B24" s="4" t="s">
        <v>40</v>
      </c>
      <c r="C24" s="5">
        <v>156242</v>
      </c>
      <c r="D24" s="4">
        <v>4000</v>
      </c>
      <c r="E24" s="4">
        <v>1720</v>
      </c>
      <c r="F24" s="1">
        <f t="shared" si="0"/>
        <v>67184.06</v>
      </c>
      <c r="G24" s="1">
        <f t="shared" si="1"/>
        <v>2280</v>
      </c>
      <c r="H24" s="1">
        <f t="shared" si="2"/>
        <v>89057.939999999988</v>
      </c>
      <c r="I24" s="1">
        <f t="shared" si="3"/>
        <v>39.060499999999998</v>
      </c>
    </row>
    <row r="25" spans="1:9" x14ac:dyDescent="0.2">
      <c r="A25" s="4" t="s">
        <v>41</v>
      </c>
      <c r="B25" s="4" t="s">
        <v>42</v>
      </c>
      <c r="C25" s="5">
        <v>143998.16</v>
      </c>
      <c r="D25" s="4">
        <v>3705</v>
      </c>
      <c r="E25" s="4">
        <v>1270</v>
      </c>
      <c r="F25" s="1">
        <f t="shared" si="0"/>
        <v>49359.693171390012</v>
      </c>
      <c r="G25" s="1">
        <f t="shared" si="1"/>
        <v>2435</v>
      </c>
      <c r="H25" s="1">
        <f t="shared" si="2"/>
        <v>94638.466828609991</v>
      </c>
      <c r="I25" s="1">
        <f t="shared" si="3"/>
        <v>38.865900134952767</v>
      </c>
    </row>
    <row r="26" spans="1:9" x14ac:dyDescent="0.2">
      <c r="A26" s="4" t="s">
        <v>41</v>
      </c>
      <c r="B26" s="4" t="s">
        <v>43</v>
      </c>
      <c r="C26" s="5">
        <v>62202.42</v>
      </c>
      <c r="D26" s="4">
        <v>1600</v>
      </c>
      <c r="E26" s="4">
        <v>760</v>
      </c>
      <c r="F26" s="1">
        <f t="shared" si="0"/>
        <v>29546.149499999996</v>
      </c>
      <c r="G26" s="1">
        <f t="shared" si="1"/>
        <v>840</v>
      </c>
      <c r="H26" s="1">
        <f t="shared" si="2"/>
        <v>32656.270499999999</v>
      </c>
      <c r="I26" s="1">
        <f t="shared" si="3"/>
        <v>38.876512499999997</v>
      </c>
    </row>
    <row r="27" spans="1:9" x14ac:dyDescent="0.2">
      <c r="A27" s="4" t="s">
        <v>41</v>
      </c>
      <c r="B27" s="4" t="s">
        <v>44</v>
      </c>
      <c r="C27" s="5">
        <v>165901.73000000001</v>
      </c>
      <c r="D27" s="4">
        <v>4250</v>
      </c>
      <c r="E27" s="4">
        <v>2050</v>
      </c>
      <c r="F27" s="1">
        <f t="shared" si="0"/>
        <v>80023.187411764709</v>
      </c>
      <c r="G27" s="1">
        <f t="shared" si="1"/>
        <v>2200</v>
      </c>
      <c r="H27" s="1">
        <f t="shared" si="2"/>
        <v>85878.542588235301</v>
      </c>
      <c r="I27" s="1">
        <f t="shared" si="3"/>
        <v>39.035701176470589</v>
      </c>
    </row>
    <row r="28" spans="1:9" x14ac:dyDescent="0.2">
      <c r="A28" s="4" t="s">
        <v>45</v>
      </c>
      <c r="B28" s="4" t="s">
        <v>46</v>
      </c>
      <c r="C28" s="5">
        <v>173148.3</v>
      </c>
      <c r="D28" s="4">
        <v>4500</v>
      </c>
      <c r="E28" s="4">
        <v>2215</v>
      </c>
      <c r="F28" s="1">
        <f t="shared" si="0"/>
        <v>85227.440999999992</v>
      </c>
      <c r="G28" s="1">
        <f t="shared" si="1"/>
        <v>2285</v>
      </c>
      <c r="H28" s="1">
        <f t="shared" si="2"/>
        <v>87920.858999999997</v>
      </c>
      <c r="I28" s="1">
        <f t="shared" si="3"/>
        <v>38.477399999999996</v>
      </c>
    </row>
    <row r="29" spans="1:9" x14ac:dyDescent="0.2">
      <c r="A29" s="4" t="s">
        <v>45</v>
      </c>
      <c r="B29" s="4" t="s">
        <v>47</v>
      </c>
      <c r="C29" s="5">
        <v>165452.79999999999</v>
      </c>
      <c r="D29" s="4">
        <v>4300</v>
      </c>
      <c r="E29" s="4">
        <v>2340</v>
      </c>
      <c r="F29" s="1">
        <f t="shared" si="0"/>
        <v>90037.105116279068</v>
      </c>
      <c r="G29" s="1">
        <f t="shared" si="1"/>
        <v>1960</v>
      </c>
      <c r="H29" s="1">
        <f t="shared" si="2"/>
        <v>75415.69488372092</v>
      </c>
      <c r="I29" s="1">
        <f t="shared" si="3"/>
        <v>38.477395348837206</v>
      </c>
    </row>
    <row r="30" spans="1:9" x14ac:dyDescent="0.2">
      <c r="A30" s="1" t="s">
        <v>45</v>
      </c>
      <c r="B30" s="1" t="s">
        <v>48</v>
      </c>
      <c r="C30" s="6">
        <v>4267.7700000000004</v>
      </c>
      <c r="D30" s="1">
        <v>110</v>
      </c>
      <c r="E30" s="1">
        <v>0</v>
      </c>
      <c r="F30" s="1">
        <f t="shared" si="0"/>
        <v>0</v>
      </c>
      <c r="G30" s="1">
        <f t="shared" si="1"/>
        <v>110</v>
      </c>
      <c r="H30" s="1">
        <f t="shared" si="2"/>
        <v>4267.7700000000004</v>
      </c>
      <c r="I30" s="1">
        <f t="shared" si="3"/>
        <v>38.797909090909094</v>
      </c>
    </row>
    <row r="31" spans="1:9" x14ac:dyDescent="0.2">
      <c r="A31" s="4" t="s">
        <v>45</v>
      </c>
      <c r="B31" s="4" t="s">
        <v>49</v>
      </c>
      <c r="C31" s="5">
        <v>15548.6</v>
      </c>
      <c r="D31" s="4">
        <v>400</v>
      </c>
      <c r="E31" s="4">
        <v>0</v>
      </c>
      <c r="F31" s="1">
        <f t="shared" si="0"/>
        <v>0</v>
      </c>
      <c r="G31" s="1">
        <f t="shared" si="1"/>
        <v>400</v>
      </c>
      <c r="H31" s="1">
        <f t="shared" si="2"/>
        <v>15548.599999999999</v>
      </c>
      <c r="I31" s="1">
        <f t="shared" si="3"/>
        <v>38.871499999999997</v>
      </c>
    </row>
    <row r="32" spans="1:9" x14ac:dyDescent="0.2">
      <c r="A32" s="4" t="s">
        <v>45</v>
      </c>
      <c r="B32" s="4" t="s">
        <v>50</v>
      </c>
      <c r="C32" s="5">
        <v>197869.29</v>
      </c>
      <c r="D32" s="4">
        <v>5100</v>
      </c>
      <c r="E32" s="4">
        <v>2255</v>
      </c>
      <c r="F32" s="1">
        <f t="shared" si="0"/>
        <v>87489.26449999999</v>
      </c>
      <c r="G32" s="1">
        <f t="shared" si="1"/>
        <v>2845</v>
      </c>
      <c r="H32" s="1">
        <f t="shared" si="2"/>
        <v>110380.02549999999</v>
      </c>
      <c r="I32" s="1">
        <f t="shared" si="3"/>
        <v>38.797899999999998</v>
      </c>
    </row>
    <row r="33" spans="1:9" x14ac:dyDescent="0.2">
      <c r="A33" s="4" t="s">
        <v>51</v>
      </c>
      <c r="B33" s="4" t="s">
        <v>52</v>
      </c>
      <c r="C33" s="5">
        <v>72552.070000000007</v>
      </c>
      <c r="D33" s="4">
        <v>1870</v>
      </c>
      <c r="E33" s="4">
        <v>1000</v>
      </c>
      <c r="F33" s="1">
        <f t="shared" si="0"/>
        <v>38797.898395721932</v>
      </c>
      <c r="G33" s="1">
        <f t="shared" si="1"/>
        <v>870</v>
      </c>
      <c r="H33" s="1">
        <f t="shared" si="2"/>
        <v>33754.171604278075</v>
      </c>
      <c r="I33" s="1">
        <f t="shared" si="3"/>
        <v>38.79789839572193</v>
      </c>
    </row>
    <row r="34" spans="1:9" x14ac:dyDescent="0.2">
      <c r="A34" s="4" t="s">
        <v>51</v>
      </c>
      <c r="B34" s="4" t="s">
        <v>53</v>
      </c>
      <c r="C34" s="5">
        <v>118333.59</v>
      </c>
      <c r="D34" s="4">
        <v>3050</v>
      </c>
      <c r="E34" s="4">
        <v>1410</v>
      </c>
      <c r="F34" s="1">
        <f t="shared" si="0"/>
        <v>54705.036688524589</v>
      </c>
      <c r="G34" s="1">
        <f t="shared" si="1"/>
        <v>1640</v>
      </c>
      <c r="H34" s="12">
        <f t="shared" si="2"/>
        <v>63628.553311475407</v>
      </c>
      <c r="I34" s="1">
        <f t="shared" si="3"/>
        <v>38.797898360655736</v>
      </c>
    </row>
    <row r="35" spans="1:9" x14ac:dyDescent="0.2">
      <c r="A35" s="1" t="s">
        <v>54</v>
      </c>
      <c r="B35" s="1" t="s">
        <v>55</v>
      </c>
      <c r="C35" s="6">
        <v>30881.439999999999</v>
      </c>
      <c r="D35" s="1">
        <v>800</v>
      </c>
      <c r="E35" s="1">
        <v>0</v>
      </c>
      <c r="F35" s="1">
        <f t="shared" si="0"/>
        <v>0</v>
      </c>
      <c r="G35" s="11">
        <f t="shared" si="1"/>
        <v>800</v>
      </c>
      <c r="H35" s="1">
        <f t="shared" si="2"/>
        <v>30881.439999999999</v>
      </c>
      <c r="I35" s="1">
        <f t="shared" si="3"/>
        <v>38.601799999999997</v>
      </c>
    </row>
    <row r="36" spans="1:9" x14ac:dyDescent="0.2">
      <c r="A36" s="1" t="s">
        <v>56</v>
      </c>
      <c r="B36" s="1" t="s">
        <v>57</v>
      </c>
      <c r="C36" s="6">
        <v>29000.55</v>
      </c>
      <c r="D36" s="1">
        <v>750</v>
      </c>
      <c r="E36" s="1">
        <v>0</v>
      </c>
      <c r="F36" s="1">
        <f t="shared" si="0"/>
        <v>0</v>
      </c>
      <c r="G36" s="11">
        <f t="shared" si="1"/>
        <v>750</v>
      </c>
      <c r="H36" s="1">
        <f t="shared" si="2"/>
        <v>29000.55</v>
      </c>
      <c r="I36" s="1">
        <f t="shared" si="3"/>
        <v>38.667400000000001</v>
      </c>
    </row>
    <row r="37" spans="1:9" x14ac:dyDescent="0.2">
      <c r="A37" s="4" t="s">
        <v>56</v>
      </c>
      <c r="B37" s="4" t="s">
        <v>58</v>
      </c>
      <c r="C37" s="5">
        <v>25713.82</v>
      </c>
      <c r="D37" s="4">
        <v>665</v>
      </c>
      <c r="E37" s="4">
        <v>300</v>
      </c>
      <c r="F37" s="1">
        <f t="shared" si="0"/>
        <v>11600.219548872181</v>
      </c>
      <c r="G37" s="11">
        <f t="shared" si="1"/>
        <v>365</v>
      </c>
      <c r="H37" s="1">
        <f t="shared" si="2"/>
        <v>14113.600451127819</v>
      </c>
      <c r="I37" s="1">
        <f t="shared" si="3"/>
        <v>38.667398496240601</v>
      </c>
    </row>
    <row r="38" spans="1:9" x14ac:dyDescent="0.2">
      <c r="A38" s="1" t="s">
        <v>59</v>
      </c>
      <c r="B38" s="1" t="s">
        <v>60</v>
      </c>
      <c r="C38" s="6">
        <v>80386.83</v>
      </c>
      <c r="D38" s="1">
        <v>2090</v>
      </c>
      <c r="E38" s="1">
        <v>0</v>
      </c>
      <c r="F38" s="1">
        <f t="shared" si="0"/>
        <v>0</v>
      </c>
      <c r="G38" s="11">
        <f t="shared" si="1"/>
        <v>2090</v>
      </c>
      <c r="H38" s="1">
        <f t="shared" si="2"/>
        <v>80386.83</v>
      </c>
      <c r="I38" s="1">
        <f t="shared" si="3"/>
        <v>38.462598086124402</v>
      </c>
    </row>
    <row r="39" spans="1:9" x14ac:dyDescent="0.2">
      <c r="A39" s="4" t="s">
        <v>59</v>
      </c>
      <c r="B39" s="4" t="s">
        <v>61</v>
      </c>
      <c r="C39" s="5">
        <v>105811.75</v>
      </c>
      <c r="D39" s="4">
        <v>2750</v>
      </c>
      <c r="E39" s="4">
        <v>2215</v>
      </c>
      <c r="F39" s="1">
        <f t="shared" si="0"/>
        <v>85226.554999999993</v>
      </c>
      <c r="G39" s="11">
        <f t="shared" si="1"/>
        <v>535</v>
      </c>
      <c r="H39" s="1">
        <f t="shared" si="2"/>
        <v>20585.195</v>
      </c>
      <c r="I39" s="1">
        <f t="shared" si="3"/>
        <v>38.476999999999997</v>
      </c>
    </row>
    <row r="40" spans="1:9" x14ac:dyDescent="0.2">
      <c r="A40" s="4" t="s">
        <v>59</v>
      </c>
      <c r="B40" s="4" t="s">
        <v>62</v>
      </c>
      <c r="C40" s="5">
        <v>123080.32000000001</v>
      </c>
      <c r="D40" s="4">
        <v>3200</v>
      </c>
      <c r="E40" s="4">
        <v>715</v>
      </c>
      <c r="F40" s="13">
        <f t="shared" si="0"/>
        <v>27500.759000000002</v>
      </c>
      <c r="G40" s="14">
        <f t="shared" si="1"/>
        <v>2485</v>
      </c>
      <c r="H40" s="13">
        <f t="shared" si="2"/>
        <v>95579.561000000002</v>
      </c>
      <c r="I40" s="13">
        <f t="shared" si="3"/>
        <v>38.462600000000002</v>
      </c>
    </row>
    <row r="41" spans="1:9" x14ac:dyDescent="0.2">
      <c r="A41" s="1" t="s">
        <v>59</v>
      </c>
      <c r="B41" s="1" t="s">
        <v>63</v>
      </c>
      <c r="C41" s="6">
        <v>61163.4</v>
      </c>
      <c r="D41" s="1">
        <v>1600</v>
      </c>
      <c r="E41" s="1">
        <v>0</v>
      </c>
      <c r="F41" s="1">
        <f t="shared" si="0"/>
        <v>0</v>
      </c>
      <c r="G41" s="1">
        <f t="shared" si="1"/>
        <v>1600</v>
      </c>
      <c r="H41" s="1">
        <f t="shared" si="2"/>
        <v>61163.4</v>
      </c>
      <c r="I41" s="1">
        <f t="shared" si="3"/>
        <v>38.227125000000001</v>
      </c>
    </row>
    <row r="42" spans="1:9" x14ac:dyDescent="0.2">
      <c r="A42" s="4" t="s">
        <v>64</v>
      </c>
      <c r="B42" s="4" t="s">
        <v>65</v>
      </c>
      <c r="C42" s="5">
        <v>202945.01</v>
      </c>
      <c r="D42" s="4">
        <v>5310</v>
      </c>
      <c r="E42" s="4">
        <v>2050</v>
      </c>
      <c r="F42" s="1">
        <f t="shared" si="0"/>
        <v>78349.768455743892</v>
      </c>
      <c r="G42" s="1">
        <f t="shared" si="1"/>
        <v>3260</v>
      </c>
      <c r="H42" s="1">
        <f t="shared" si="2"/>
        <v>124595.24154425613</v>
      </c>
      <c r="I42" s="1">
        <f t="shared" si="3"/>
        <v>38.219399246704334</v>
      </c>
    </row>
    <row r="43" spans="1:9" x14ac:dyDescent="0.2">
      <c r="A43" s="4" t="s">
        <v>64</v>
      </c>
      <c r="B43" s="4" t="s">
        <v>66</v>
      </c>
      <c r="C43" s="5">
        <v>189454</v>
      </c>
      <c r="D43" s="4">
        <v>5000</v>
      </c>
      <c r="E43" s="4">
        <v>2050</v>
      </c>
      <c r="F43" s="1">
        <f t="shared" si="0"/>
        <v>77676.14</v>
      </c>
      <c r="G43" s="1">
        <f t="shared" si="1"/>
        <v>2950</v>
      </c>
      <c r="H43" s="1">
        <f t="shared" si="2"/>
        <v>111777.86</v>
      </c>
      <c r="I43" s="1">
        <f t="shared" si="3"/>
        <v>37.890799999999999</v>
      </c>
    </row>
    <row r="44" spans="1:9" x14ac:dyDescent="0.2">
      <c r="A44" s="1" t="s">
        <v>67</v>
      </c>
      <c r="B44" s="1" t="s">
        <v>68</v>
      </c>
      <c r="C44" s="6">
        <v>64995.49</v>
      </c>
      <c r="D44" s="1">
        <v>1700</v>
      </c>
      <c r="E44" s="1">
        <v>0</v>
      </c>
      <c r="F44" s="1">
        <f t="shared" si="0"/>
        <v>0</v>
      </c>
      <c r="G44" s="1">
        <f t="shared" si="1"/>
        <v>1700</v>
      </c>
      <c r="H44" s="1">
        <f t="shared" si="2"/>
        <v>64995.49</v>
      </c>
      <c r="I44" s="1">
        <f t="shared" si="3"/>
        <v>38.232641176470587</v>
      </c>
    </row>
    <row r="45" spans="1:9" x14ac:dyDescent="0.2">
      <c r="A45" s="1" t="s">
        <v>69</v>
      </c>
      <c r="B45" s="1" t="s">
        <v>70</v>
      </c>
      <c r="C45" s="6">
        <v>162516.26</v>
      </c>
      <c r="D45" s="1">
        <v>4320</v>
      </c>
      <c r="E45" s="1">
        <v>2340</v>
      </c>
      <c r="F45" s="1">
        <f t="shared" si="0"/>
        <v>88029.640833333338</v>
      </c>
      <c r="G45" s="1">
        <f t="shared" si="1"/>
        <v>1980</v>
      </c>
      <c r="H45" s="1">
        <f t="shared" si="2"/>
        <v>74486.619166666671</v>
      </c>
      <c r="I45" s="1">
        <f t="shared" si="3"/>
        <v>37.619504629629631</v>
      </c>
    </row>
    <row r="46" spans="1:9" x14ac:dyDescent="0.2">
      <c r="A46" s="1" t="s">
        <v>69</v>
      </c>
      <c r="B46" s="1" t="s">
        <v>71</v>
      </c>
      <c r="C46" s="6">
        <v>133000</v>
      </c>
      <c r="D46" s="1">
        <v>3520</v>
      </c>
      <c r="E46" s="1">
        <v>1980</v>
      </c>
      <c r="F46" s="1">
        <f t="shared" si="0"/>
        <v>74812.5</v>
      </c>
      <c r="G46" s="1">
        <f t="shared" si="1"/>
        <v>1540</v>
      </c>
      <c r="H46" s="1">
        <f t="shared" si="2"/>
        <v>58187.499999999993</v>
      </c>
      <c r="I46" s="1">
        <f t="shared" si="3"/>
        <v>37.784090909090907</v>
      </c>
    </row>
    <row r="47" spans="1:9" x14ac:dyDescent="0.2">
      <c r="A47" s="1"/>
      <c r="B47" s="1"/>
      <c r="C47" s="8">
        <f>SUM(C3:C46)</f>
        <v>4746835.6599999992</v>
      </c>
      <c r="D47" s="1"/>
      <c r="E47" s="1"/>
      <c r="F47" s="2">
        <f>SUM(F3:F46)</f>
        <v>2167488.8786171786</v>
      </c>
      <c r="G47" s="23" t="s">
        <v>81</v>
      </c>
      <c r="H47" s="20">
        <f>SUM(H3:H46)</f>
        <v>2579346.7813828215</v>
      </c>
      <c r="I47" s="1"/>
    </row>
    <row r="48" spans="1:9" x14ac:dyDescent="0.2">
      <c r="A48" s="1"/>
      <c r="B48" s="1"/>
      <c r="C48" s="6"/>
      <c r="D48" s="1">
        <f>SUM(D3:D47)</f>
        <v>120386</v>
      </c>
      <c r="E48" s="1">
        <f>SUM(E3:E47)</f>
        <v>54890</v>
      </c>
      <c r="F48" s="1"/>
      <c r="G48" s="1"/>
      <c r="H48" s="1"/>
      <c r="I48" s="1"/>
    </row>
    <row r="49" spans="2:8" x14ac:dyDescent="0.2">
      <c r="B49" s="9"/>
      <c r="C49" s="3"/>
      <c r="H49" s="18" t="s">
        <v>80</v>
      </c>
    </row>
    <row r="50" spans="2:8" x14ac:dyDescent="0.2">
      <c r="G50" s="19">
        <v>45412</v>
      </c>
      <c r="H50">
        <v>715000</v>
      </c>
    </row>
    <row r="51" spans="2:8" x14ac:dyDescent="0.2">
      <c r="G51" s="19">
        <v>45446</v>
      </c>
      <c r="H51">
        <v>550000</v>
      </c>
    </row>
    <row r="52" spans="2:8" x14ac:dyDescent="0.2">
      <c r="G52" s="19">
        <v>45472</v>
      </c>
      <c r="H52">
        <v>335000</v>
      </c>
    </row>
    <row r="53" spans="2:8" x14ac:dyDescent="0.2">
      <c r="G53" s="19">
        <v>45549</v>
      </c>
      <c r="H53">
        <v>100000</v>
      </c>
    </row>
    <row r="55" spans="2:8" x14ac:dyDescent="0.2">
      <c r="G55" s="21" t="s">
        <v>82</v>
      </c>
      <c r="H55" s="22">
        <f>SUM(H50:H53)</f>
        <v>1700000</v>
      </c>
    </row>
    <row r="56" spans="2:8" ht="24" x14ac:dyDescent="0.3">
      <c r="G56" s="24" t="s">
        <v>79</v>
      </c>
      <c r="H56" s="25">
        <f>H47-H55</f>
        <v>879346.7813828215</v>
      </c>
    </row>
  </sheetData>
  <mergeCells count="1">
    <mergeCell ref="A1:D1"/>
  </mergeCells>
  <pageMargins left="0.7" right="0.7" top="0.75" bottom="0.75" header="0.3" footer="0.3"/>
  <pageSetup paperSize="9" scale="6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Atalay Yorukoglu</cp:lastModifiedBy>
  <cp:lastPrinted>2024-10-14T07:09:04Z</cp:lastPrinted>
  <dcterms:created xsi:type="dcterms:W3CDTF">2024-09-25T13:06:54Z</dcterms:created>
  <dcterms:modified xsi:type="dcterms:W3CDTF">2024-10-14T10:30:50Z</dcterms:modified>
</cp:coreProperties>
</file>
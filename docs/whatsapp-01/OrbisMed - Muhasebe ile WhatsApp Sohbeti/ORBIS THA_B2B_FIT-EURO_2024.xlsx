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8760"/>
  </bookViews>
  <sheets>
    <sheet name="Sayfa1" sheetId="1" r:id="rId1"/>
  </sheets>
  <definedNames>
    <definedName name="_xlnm.Print_Area" localSheetId="0">Sayfa1!$A$1:$L$56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D8" i="1"/>
  <c r="D10" i="1" s="1"/>
  <c r="F8" i="1"/>
  <c r="F13" i="1" s="1"/>
  <c r="F14" i="1" s="1"/>
  <c r="D17" i="1"/>
  <c r="C17" i="1"/>
  <c r="F6" i="1"/>
  <c r="D6" i="1"/>
  <c r="C6" i="1"/>
  <c r="F5" i="1"/>
  <c r="D5" i="1"/>
  <c r="C5" i="1"/>
  <c r="D13" i="1" l="1"/>
  <c r="D14" i="1" s="1"/>
  <c r="C13" i="1"/>
  <c r="C14" i="1" s="1"/>
  <c r="C9" i="1"/>
  <c r="C10" i="1"/>
  <c r="D9" i="1"/>
  <c r="F10" i="1"/>
  <c r="F9" i="1"/>
</calcChain>
</file>

<file path=xl/sharedStrings.xml><?xml version="1.0" encoding="utf-8"?>
<sst xmlns="http://schemas.openxmlformats.org/spreadsheetml/2006/main" count="30" uniqueCount="21">
  <si>
    <t>TOURİST HOTEL ANTALYA</t>
  </si>
  <si>
    <t>Lateral sea view BB</t>
  </si>
  <si>
    <t>dbl</t>
  </si>
  <si>
    <t>sng</t>
  </si>
  <si>
    <t>trp</t>
  </si>
  <si>
    <t>Sea view BB</t>
  </si>
  <si>
    <t>Panaromic view BB</t>
  </si>
  <si>
    <t>famıly bb</t>
  </si>
  <si>
    <t>iki yetişkin yanında 00-06 bir çocuk free</t>
  </si>
  <si>
    <t>iki yetişkin yanında 07-11 yaş bir çocuk %50 indirimlidir.</t>
  </si>
  <si>
    <t>release</t>
  </si>
  <si>
    <t xml:space="preserve">kontenjan </t>
  </si>
  <si>
    <t>sea view</t>
  </si>
  <si>
    <t>lateral sea view</t>
  </si>
  <si>
    <t>release tarihi sonrası iptaller icin 1 gece no-show uygulanır</t>
  </si>
  <si>
    <t>panaromic</t>
  </si>
  <si>
    <t>Kdv ve konaklama vergisi dahil net satış fiyatlarımızdır. Odemeler giristen önce sekliyledir.</t>
  </si>
  <si>
    <t>5 kişilik aile odamız 2 adet mevcut olup arakapılı değildir. Odalar 2 dbl 1 sng yatak seklindedir. Talep olması durumunda carpanı unite satıs pp* 4,3 dur</t>
  </si>
  <si>
    <t>B2B/Euro</t>
  </si>
  <si>
    <t xml:space="preserve">RO 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</si>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</sst>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[$€-407]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1"/>
      <color rgb="FF002060"/>
      <name val="Calibri"/>
      <family val="2"/>
      <charset val="162"/>
      <scheme val="minor"/>
    </font>
    <font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14" fontId="2" fillId="2" borderId="2" xfId="0" applyNumberFormat="1" applyFont="1" applyFill="1" applyBorder="1"/>
    <xf numFmtId="14" fontId="2" fillId="3" borderId="3" xfId="0" applyNumberFormat="1" applyFont="1" applyFill="1" applyBorder="1"/>
    <xf numFmtId="14" fontId="2" fillId="2" borderId="5" xfId="0" applyNumberFormat="1" applyFont="1" applyFill="1" applyBorder="1"/>
    <xf numFmtId="14" fontId="2" fillId="3" borderId="6" xfId="0" applyNumberFormat="1" applyFont="1" applyFill="1" applyBorder="1"/>
    <xf numFmtId="0" fontId="2" fillId="4" borderId="0" xfId="0" applyFont="1" applyFill="1"/>
    <xf numFmtId="164" fontId="2" fillId="4" borderId="1" xfId="0" applyNumberFormat="1" applyFont="1" applyFill="1" applyBorder="1"/>
    <xf numFmtId="164" fontId="2" fillId="0" borderId="7" xfId="0" applyNumberFormat="1" applyFont="1" applyBorder="1"/>
    <xf numFmtId="164" fontId="2" fillId="0" borderId="4" xfId="0" applyNumberFormat="1" applyFont="1" applyBorder="1"/>
    <xf numFmtId="164" fontId="2" fillId="0" borderId="8" xfId="0" applyNumberFormat="1" applyFont="1" applyBorder="1"/>
    <xf numFmtId="0" fontId="2" fillId="5" borderId="0" xfId="0" applyFont="1" applyFill="1" applyBorder="1"/>
    <xf numFmtId="164" fontId="2" fillId="6" borderId="3" xfId="0" applyNumberFormat="1" applyFont="1" applyFill="1" applyBorder="1"/>
    <xf numFmtId="0" fontId="3" fillId="7" borderId="0" xfId="0" applyFont="1" applyFill="1"/>
    <xf numFmtId="0" fontId="2" fillId="0" borderId="9" xfId="0" applyFont="1" applyBorder="1"/>
    <xf numFmtId="0" fontId="2" fillId="7" borderId="0" xfId="0" applyFont="1" applyFill="1" applyBorder="1"/>
    <xf numFmtId="164" fontId="2" fillId="7" borderId="0" xfId="0" applyNumberFormat="1" applyFont="1" applyFill="1" applyBorder="1"/>
    <xf numFmtId="1" fontId="2" fillId="5" borderId="0" xfId="0" applyNumberFormat="1" applyFont="1" applyFill="1" applyBorder="1"/>
    <xf numFmtId="0" fontId="4" fillId="5" borderId="0" xfId="0" applyFont="1" applyFill="1"/>
    <xf numFmtId="0" fontId="4" fillId="5" borderId="0" xfId="0" applyFont="1" applyFill="1" applyAlignment="1">
      <alignment vertical="center"/>
    </xf>
    <xf numFmtId="0" fontId="5" fillId="5" borderId="0" xfId="0" applyFont="1" applyFill="1"/>
    <xf numFmtId="0" fontId="2" fillId="5" borderId="0" xfId="0" applyNumberFormat="1" applyFont="1" applyFill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view="pageBreakPreview" zoomScaleNormal="100" zoomScaleSheetLayoutView="100" workbookViewId="0">
      <selection activeCell="D14" sqref="D14"/>
    </sheetView>
  </sheetViews>
  <sheetFormatPr defaultRowHeight="15" x14ac:dyDescent="0.25"/>
  <cols>
    <col min="1" max="1" width="18.140625" customWidth="1"/>
    <col min="2" max="2" width="3.7109375" bestFit="1" customWidth="1"/>
    <col min="3" max="10" width="9.85546875" bestFit="1" customWidth="1"/>
    <col min="12" max="12" width="12.140625" customWidth="1"/>
  </cols>
  <sheetData>
    <row r="1" spans="1:6" ht="15.75" thickBot="1" x14ac:dyDescent="0.3">
      <c r="A1" s="1" t="s">
        <v>0</v>
      </c>
      <c r="B1" s="2"/>
      <c r="C1" s="2"/>
      <c r="D1" s="2"/>
      <c r="E1" s="2"/>
      <c r="F1" s="2"/>
    </row>
    <row r="2" spans="1:6" x14ac:dyDescent="0.25">
      <c r="A2" s="1" t="s">
        <v>18</v>
      </c>
      <c r="B2" s="2"/>
      <c r="C2" s="3">
        <v>45566</v>
      </c>
      <c r="D2" s="3">
        <v>45597</v>
      </c>
      <c r="F2" s="4">
        <v>45627</v>
      </c>
    </row>
    <row r="3" spans="1:6" ht="15.75" thickBot="1" x14ac:dyDescent="0.3">
      <c r="A3" s="2"/>
      <c r="B3" s="2"/>
      <c r="C3" s="5">
        <v>45595</v>
      </c>
      <c r="D3" s="5">
        <v>45626</v>
      </c>
      <c r="F3" s="6">
        <v>45747</v>
      </c>
    </row>
    <row r="4" spans="1:6" x14ac:dyDescent="0.25">
      <c r="A4" s="7" t="s">
        <v>1</v>
      </c>
      <c r="B4" s="7" t="s">
        <v>2</v>
      </c>
      <c r="C4" s="8">
        <v>55</v>
      </c>
      <c r="D4" s="8">
        <v>42</v>
      </c>
      <c r="E4" t="s">
        <v>19</v>
      </c>
      <c r="F4" s="8">
        <v>30</v>
      </c>
    </row>
    <row r="5" spans="1:6" x14ac:dyDescent="0.25">
      <c r="A5" s="2"/>
      <c r="B5" s="2" t="s">
        <v>3</v>
      </c>
      <c r="C5" s="9">
        <f t="shared" ref="C5:F5" si="0">(C4/2*1.9)</f>
        <v>52.25</v>
      </c>
      <c r="D5" s="9">
        <f t="shared" si="0"/>
        <v>39.9</v>
      </c>
      <c r="F5" s="9">
        <f t="shared" si="0"/>
        <v>28.5</v>
      </c>
    </row>
    <row r="6" spans="1:6" ht="15.75" thickBot="1" x14ac:dyDescent="0.3">
      <c r="A6" s="2"/>
      <c r="B6" s="2" t="s">
        <v>4</v>
      </c>
      <c r="C6" s="10">
        <f t="shared" ref="C6:D6" si="1">(C4/2*2.7)</f>
        <v>74.25</v>
      </c>
      <c r="D6" s="10">
        <f t="shared" si="1"/>
        <v>56.7</v>
      </c>
      <c r="F6" s="11">
        <f>(F4/2*2.7)</f>
        <v>40.5</v>
      </c>
    </row>
    <row r="7" spans="1:6" ht="15.75" thickBot="1" x14ac:dyDescent="0.3">
      <c r="A7" s="14"/>
      <c r="B7" s="14"/>
      <c r="C7" s="14"/>
      <c r="D7" s="14"/>
      <c r="F7" s="14"/>
    </row>
    <row r="8" spans="1:6" x14ac:dyDescent="0.25">
      <c r="A8" s="7" t="s">
        <v>5</v>
      </c>
      <c r="B8" s="7" t="s">
        <v>2</v>
      </c>
      <c r="C8" s="8">
        <f t="shared" ref="C8:F8" si="2">SUM(C4,6)</f>
        <v>61</v>
      </c>
      <c r="D8" s="8">
        <f t="shared" si="2"/>
        <v>48</v>
      </c>
      <c r="E8" t="s">
        <v>20</v>
      </c>
      <c r="F8" s="8">
        <f t="shared" si="2"/>
        <v>36</v>
      </c>
    </row>
    <row r="9" spans="1:6" x14ac:dyDescent="0.25">
      <c r="A9" s="2"/>
      <c r="B9" s="2" t="s">
        <v>3</v>
      </c>
      <c r="C9" s="9">
        <f t="shared" ref="C9:F9" si="3">(C8/2*1.9)</f>
        <v>57.949999999999996</v>
      </c>
      <c r="D9" s="9">
        <f t="shared" si="3"/>
        <v>45.599999999999994</v>
      </c>
      <c r="F9" s="9">
        <f t="shared" si="3"/>
        <v>34.199999999999996</v>
      </c>
    </row>
    <row r="10" spans="1:6" ht="15.75" thickBot="1" x14ac:dyDescent="0.3">
      <c r="A10" s="2"/>
      <c r="B10" s="2" t="s">
        <v>4</v>
      </c>
      <c r="C10" s="10">
        <f t="shared" ref="C10:D10" si="4">(C8/2*2.7)</f>
        <v>82.350000000000009</v>
      </c>
      <c r="D10" s="10">
        <f t="shared" si="4"/>
        <v>64.800000000000011</v>
      </c>
      <c r="F10" s="11">
        <f>(F8/2*2.7)</f>
        <v>48.6</v>
      </c>
    </row>
    <row r="11" spans="1:6" x14ac:dyDescent="0.25">
      <c r="A11" s="12" t="s">
        <v>10</v>
      </c>
      <c r="B11" s="12"/>
      <c r="C11" s="18">
        <v>0</v>
      </c>
      <c r="D11" s="18">
        <v>0</v>
      </c>
      <c r="F11" s="15">
        <v>0</v>
      </c>
    </row>
    <row r="12" spans="1:6" ht="15.75" thickBot="1" x14ac:dyDescent="0.3">
      <c r="A12" s="16"/>
      <c r="B12" s="16"/>
      <c r="C12" s="17"/>
      <c r="D12" s="17"/>
      <c r="F12" s="16"/>
    </row>
    <row r="13" spans="1:6" x14ac:dyDescent="0.25">
      <c r="A13" s="7" t="s">
        <v>6</v>
      </c>
      <c r="B13" s="7" t="s">
        <v>2</v>
      </c>
      <c r="C13" s="8">
        <f t="shared" ref="C13:F13" si="5">(C8+7)</f>
        <v>68</v>
      </c>
      <c r="D13" s="8">
        <f t="shared" si="5"/>
        <v>55</v>
      </c>
      <c r="E13" t="s">
        <v>20</v>
      </c>
      <c r="F13" s="8">
        <f t="shared" si="5"/>
        <v>43</v>
      </c>
    </row>
    <row r="14" spans="1:6" x14ac:dyDescent="0.25">
      <c r="A14" s="2"/>
      <c r="B14" s="2" t="s">
        <v>3</v>
      </c>
      <c r="C14" s="9">
        <f t="shared" ref="C14:F14" si="6">(C13/2*1.9)</f>
        <v>64.599999999999994</v>
      </c>
      <c r="D14" s="9">
        <f t="shared" si="6"/>
        <v>52.25</v>
      </c>
      <c r="F14" s="9">
        <f t="shared" si="6"/>
        <v>40.85</v>
      </c>
    </row>
    <row r="15" spans="1:6" x14ac:dyDescent="0.25">
      <c r="A15" s="12" t="s">
        <v>10</v>
      </c>
      <c r="B15" s="12"/>
      <c r="C15" s="18">
        <v>0</v>
      </c>
      <c r="D15" s="18">
        <v>0</v>
      </c>
      <c r="F15" s="22">
        <v>0</v>
      </c>
    </row>
    <row r="16" spans="1:6" ht="15.75" thickBot="1" x14ac:dyDescent="0.3">
      <c r="A16" s="14"/>
      <c r="B16" s="14"/>
      <c r="C16" s="14"/>
      <c r="D16" s="14"/>
      <c r="E16" t="s">
        <v>20</v>
      </c>
      <c r="F16" s="14"/>
    </row>
    <row r="17" spans="1:6" x14ac:dyDescent="0.25">
      <c r="A17" s="7" t="s">
        <v>7</v>
      </c>
      <c r="B17" s="7">
        <v>5</v>
      </c>
      <c r="C17" s="8">
        <f t="shared" ref="C17:D17" si="7">(C4/2*4.3)</f>
        <v>118.25</v>
      </c>
      <c r="D17" s="8">
        <f t="shared" si="7"/>
        <v>90.3</v>
      </c>
      <c r="F17" s="13"/>
    </row>
    <row r="18" spans="1:6" x14ac:dyDescent="0.25">
      <c r="A18" s="12" t="s">
        <v>10</v>
      </c>
      <c r="B18" s="12"/>
      <c r="C18" s="18">
        <v>0</v>
      </c>
      <c r="D18" s="18">
        <v>0</v>
      </c>
      <c r="F18" s="18">
        <v>0</v>
      </c>
    </row>
    <row r="20" spans="1:6" x14ac:dyDescent="0.25">
      <c r="A20" s="19"/>
      <c r="B20" s="19"/>
      <c r="C20" s="19"/>
    </row>
    <row r="21" spans="1:6" x14ac:dyDescent="0.25">
      <c r="A21" s="20" t="s">
        <v>16</v>
      </c>
      <c r="B21" s="19"/>
      <c r="C21" s="19"/>
    </row>
    <row r="22" spans="1:6" x14ac:dyDescent="0.25">
      <c r="A22" s="19" t="s">
        <v>11</v>
      </c>
      <c r="B22" s="19" t="s">
        <v>13</v>
      </c>
      <c r="C22" s="19"/>
    </row>
    <row r="23" spans="1:6" x14ac:dyDescent="0.25">
      <c r="A23" s="19"/>
      <c r="B23" s="19" t="s">
        <v>12</v>
      </c>
      <c r="C23" s="19"/>
    </row>
    <row r="24" spans="1:6" x14ac:dyDescent="0.25">
      <c r="B24" s="19" t="s">
        <v>15</v>
      </c>
      <c r="C24" s="19"/>
    </row>
    <row r="25" spans="1:6" x14ac:dyDescent="0.25">
      <c r="A25" s="19" t="s">
        <v>14</v>
      </c>
      <c r="B25" s="19"/>
      <c r="C25" s="19"/>
    </row>
    <row r="26" spans="1:6" x14ac:dyDescent="0.25">
      <c r="A26" s="19" t="s">
        <v>17</v>
      </c>
      <c r="B26" s="19"/>
      <c r="C26" s="19"/>
    </row>
    <row r="27" spans="1:6" x14ac:dyDescent="0.25">
      <c r="A27" s="19" t="s">
        <v>8</v>
      </c>
      <c r="B27" s="19"/>
      <c r="C27" s="19"/>
    </row>
    <row r="28" spans="1:6" x14ac:dyDescent="0.25">
      <c r="A28" s="19" t="s">
        <v>9</v>
      </c>
      <c r="B28" s="19"/>
      <c r="C28" s="19"/>
    </row>
    <row r="29" spans="1:6" ht="15.75" x14ac:dyDescent="0.25">
      <c r="A29" s="21"/>
    </row>
    <row r="33" spans="1:9" ht="18.75" x14ac:dyDescent="0.3">
      <c r="A33" s="23"/>
      <c r="B33" s="24"/>
      <c r="C33" s="24"/>
      <c r="D33" s="24"/>
      <c r="E33" s="24"/>
      <c r="F33" s="24"/>
      <c r="G33" s="24"/>
    </row>
    <row r="34" spans="1:9" x14ac:dyDescent="0.25">
      <c r="A34" s="19"/>
      <c r="B34" s="19"/>
      <c r="C34" s="19"/>
    </row>
    <row r="35" spans="1:9" x14ac:dyDescent="0.25">
      <c r="A35" s="20"/>
      <c r="B35" s="19"/>
      <c r="C35" s="19"/>
    </row>
    <row r="36" spans="1:9" x14ac:dyDescent="0.25">
      <c r="A36" s="19"/>
      <c r="B36" s="19"/>
      <c r="C36" s="19"/>
    </row>
    <row r="37" spans="1:9" x14ac:dyDescent="0.25">
      <c r="A37" s="19"/>
      <c r="B37" s="19"/>
      <c r="C37" s="19"/>
    </row>
    <row r="38" spans="1:9" x14ac:dyDescent="0.25">
      <c r="B38" s="19"/>
      <c r="C38" s="19"/>
    </row>
    <row r="39" spans="1:9" x14ac:dyDescent="0.25">
      <c r="A39" s="19"/>
      <c r="B39" s="19"/>
      <c r="C39" s="19"/>
    </row>
    <row r="40" spans="1:9" x14ac:dyDescent="0.25">
      <c r="A40" s="19"/>
      <c r="B40" s="19"/>
      <c r="C40" s="19"/>
    </row>
    <row r="41" spans="1:9" x14ac:dyDescent="0.25">
      <c r="A41" s="19"/>
      <c r="B41" s="19"/>
      <c r="C41" s="19"/>
    </row>
    <row r="42" spans="1:9" x14ac:dyDescent="0.25">
      <c r="A42" s="19"/>
      <c r="B42" s="19"/>
      <c r="C42" s="19"/>
    </row>
    <row r="43" spans="1:9" ht="15.75" x14ac:dyDescent="0.25">
      <c r="A43" s="21"/>
    </row>
    <row r="44" spans="1:9" x14ac:dyDescent="0.25">
      <c r="A44" s="12"/>
      <c r="B44" s="12"/>
      <c r="C44" s="18"/>
      <c r="D44" s="18"/>
      <c r="E44" s="18"/>
      <c r="F44" s="18"/>
      <c r="G44" s="18"/>
      <c r="H44" s="18"/>
      <c r="I44" s="18"/>
    </row>
    <row r="46" spans="1:9" x14ac:dyDescent="0.25">
      <c r="A46" s="20"/>
      <c r="B46" s="19"/>
      <c r="C46" s="19"/>
      <c r="D46" s="19"/>
      <c r="E46" s="19"/>
    </row>
    <row r="47" spans="1:9" x14ac:dyDescent="0.25">
      <c r="A47" s="19"/>
      <c r="B47" s="19"/>
      <c r="C47" s="19"/>
      <c r="D47" s="19"/>
      <c r="E47" s="19"/>
    </row>
    <row r="48" spans="1:9" x14ac:dyDescent="0.25">
      <c r="A48" s="19"/>
      <c r="B48" s="19"/>
      <c r="C48" s="19"/>
      <c r="D48" s="19"/>
      <c r="E48" s="19"/>
    </row>
    <row r="49" spans="1:5" x14ac:dyDescent="0.25">
      <c r="B49" s="19"/>
      <c r="C49" s="19"/>
      <c r="D49" s="19"/>
      <c r="E49" s="19"/>
    </row>
    <row r="50" spans="1:5" x14ac:dyDescent="0.25">
      <c r="A50" s="19"/>
      <c r="B50" s="19"/>
      <c r="C50" s="19"/>
      <c r="D50" s="19"/>
      <c r="E50" s="19"/>
    </row>
    <row r="51" spans="1:5" x14ac:dyDescent="0.25">
      <c r="A51" s="19"/>
      <c r="B51" s="19"/>
      <c r="D51" s="19"/>
    </row>
    <row r="52" spans="1:5" x14ac:dyDescent="0.25">
      <c r="A52" s="19"/>
      <c r="B52" s="19"/>
      <c r="D52" s="19"/>
    </row>
    <row r="53" spans="1:5" x14ac:dyDescent="0.25">
      <c r="A53" s="19"/>
      <c r="B53" s="19"/>
      <c r="D53" s="19"/>
    </row>
    <row r="54" spans="1:5" ht="15.75" x14ac:dyDescent="0.25">
      <c r="A54" s="21"/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2024-09-30T10:11:01Z</dcterms:modified>
</cp:coreProperties>
</file>
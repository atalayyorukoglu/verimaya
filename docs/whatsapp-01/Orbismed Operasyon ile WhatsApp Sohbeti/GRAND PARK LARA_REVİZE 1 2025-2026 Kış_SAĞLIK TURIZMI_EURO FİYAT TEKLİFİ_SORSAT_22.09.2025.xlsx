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MI2PEPF00000236\EXCELCNV\aecab605-5b11-4dee-b103-f91481a833cc\"/>
    </mc:Choice>
  </mc:AlternateContent>
  <xr:revisionPtr revIDLastSave="176" documentId="8_{1DCD04C7-D090-4B79-B97C-B8401C5598EC}" xr6:coauthVersionLast="47" xr6:coauthVersionMax="47" xr10:uidLastSave="{18AEF004-7055-4D40-A76E-D295AB948D78}"/>
  <bookViews>
    <workbookView xWindow="-60" yWindow="-60" windowWidth="15480" windowHeight="11640" tabRatio="811" xr2:uid="{F5477C61-FB88-44E9-8501-C7125D7822B8}"/>
  </bookViews>
  <sheets>
    <sheet name="GRAND PARK LARA" sheetId="22" r:id="rId1"/>
    <sheet name="İletişim Bilgileri" sheetId="20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22" l="1"/>
  <c r="F17" i="22"/>
  <c r="E18" i="22"/>
  <c r="E17" i="22"/>
  <c r="D18" i="22"/>
  <c r="D17" i="22"/>
  <c r="D25" i="22"/>
  <c r="D24" i="22"/>
  <c r="E19" i="22"/>
  <c r="F19" i="22"/>
  <c r="E20" i="22"/>
  <c r="F20" i="22"/>
  <c r="E21" i="22"/>
  <c r="F21" i="22"/>
  <c r="E22" i="22"/>
  <c r="F22" i="22"/>
  <c r="E23" i="22"/>
  <c r="F23" i="22"/>
  <c r="E24" i="22"/>
  <c r="F24" i="22"/>
  <c r="E25" i="22"/>
  <c r="F25" i="22"/>
  <c r="E26" i="22"/>
  <c r="F26" i="22"/>
  <c r="D26" i="22"/>
  <c r="D23" i="22"/>
  <c r="D20" i="22"/>
  <c r="F27" i="22"/>
  <c r="E27" i="22"/>
  <c r="D27" i="22"/>
  <c r="E15" i="22"/>
  <c r="F15" i="22"/>
  <c r="D15" i="22"/>
  <c r="F11" i="22"/>
  <c r="E11" i="22"/>
  <c r="D11" i="22"/>
  <c r="F43" i="22"/>
  <c r="E43" i="22"/>
  <c r="D43" i="22"/>
  <c r="F42" i="22"/>
  <c r="E42" i="22"/>
  <c r="D42" i="22"/>
  <c r="F41" i="22"/>
  <c r="E41" i="22"/>
  <c r="D41" i="22"/>
  <c r="F40" i="22"/>
  <c r="E40" i="22"/>
  <c r="D40" i="22"/>
  <c r="F39" i="22"/>
  <c r="E39" i="22"/>
  <c r="D39" i="22"/>
  <c r="F38" i="22"/>
  <c r="E38" i="22"/>
  <c r="D38" i="22"/>
  <c r="F37" i="22"/>
  <c r="E37" i="22"/>
  <c r="D37" i="22"/>
  <c r="F36" i="22"/>
  <c r="E36" i="22"/>
  <c r="D36" i="22"/>
  <c r="F35" i="22"/>
  <c r="E35" i="22"/>
  <c r="D35" i="22"/>
  <c r="F34" i="22"/>
  <c r="E34" i="22"/>
  <c r="D34" i="22"/>
  <c r="F33" i="22"/>
  <c r="E33" i="22"/>
  <c r="D33" i="22"/>
  <c r="F32" i="22"/>
  <c r="E32" i="22"/>
  <c r="D32" i="22"/>
  <c r="F31" i="22"/>
  <c r="E31" i="22"/>
  <c r="D31" i="22"/>
  <c r="F30" i="22"/>
  <c r="E30" i="22"/>
  <c r="D30" i="22"/>
  <c r="F29" i="22"/>
  <c r="E29" i="22"/>
  <c r="D29" i="22"/>
  <c r="D22" i="22"/>
  <c r="D21" i="22"/>
  <c r="D19" i="22"/>
  <c r="F14" i="22"/>
  <c r="E14" i="22"/>
  <c r="D14" i="22"/>
  <c r="F13" i="22"/>
  <c r="E13" i="22"/>
  <c r="D13" i="22"/>
  <c r="F12" i="22"/>
  <c r="E12" i="22"/>
  <c r="D12" i="22"/>
  <c r="F10" i="22"/>
  <c r="E10" i="22"/>
  <c r="D10" i="22"/>
</calcChain>
</file>

<file path=xl/sharedStrings.xml><?xml version="1.0" encoding="utf-8"?>
<sst xmlns="http://schemas.openxmlformats.org/spreadsheetml/2006/main" count="113" uniqueCount="103">
  <si>
    <t xml:space="preserve">                                     GRAND PARK LARA </t>
  </si>
  <si>
    <t>2025-2026 KIŞ / SAĞLIK TURIZMI PAZARI / EURO FİYAT ve DETAYLARI</t>
  </si>
  <si>
    <t xml:space="preserve">ULTRA ALL INCLUSIVE/ULTRA HERŞEY DAHİL </t>
  </si>
  <si>
    <t>ÇARPAN</t>
  </si>
  <si>
    <t>1. Dönem</t>
  </si>
  <si>
    <t>2. Dönem</t>
  </si>
  <si>
    <t>3. Dönem</t>
  </si>
  <si>
    <t>VT.22.09.2025</t>
  </si>
  <si>
    <r>
      <rPr>
        <b/>
        <sz val="10"/>
        <color rgb="FF000000"/>
        <rFont val="Calibri"/>
      </rPr>
      <t xml:space="preserve">01/11/2025 - </t>
    </r>
    <r>
      <rPr>
        <b/>
        <sz val="10"/>
        <color rgb="FFFF0000"/>
        <rFont val="Calibri"/>
      </rPr>
      <t>**27/11/2025**</t>
    </r>
  </si>
  <si>
    <r>
      <rPr>
        <b/>
        <sz val="10"/>
        <color rgb="FFFF0000"/>
        <rFont val="Calibri"/>
      </rPr>
      <t>**09/12/2025**</t>
    </r>
    <r>
      <rPr>
        <b/>
        <sz val="10"/>
        <color rgb="FF000000"/>
        <rFont val="Calibri"/>
      </rPr>
      <t xml:space="preserve"> - 25/12/2025</t>
    </r>
  </si>
  <si>
    <t>26/12/2025 - 03/01/2026</t>
  </si>
  <si>
    <t>04/01/2026 -31/03/2026</t>
  </si>
  <si>
    <t xml:space="preserve">STANDART ROOM / P.P. (R.O.H.)         </t>
  </si>
  <si>
    <t>Min. 1,  Max. 2+1 (inf. dahil)</t>
  </si>
  <si>
    <t>DBL</t>
  </si>
  <si>
    <t>SNG</t>
  </si>
  <si>
    <t>1 ADL + 1 CHD (02-12,99)</t>
  </si>
  <si>
    <t>1 ADL + 2 CHD (02-12,99 + 02-12,99)</t>
  </si>
  <si>
    <t>2 ADL + 1 CHD (02-12,99)</t>
  </si>
  <si>
    <r>
      <t xml:space="preserve">FAMILY DELUXE </t>
    </r>
    <r>
      <rPr>
        <b/>
        <sz val="11"/>
        <color indexed="60"/>
        <rFont val="Calibri"/>
        <family val="2"/>
        <charset val="162"/>
      </rPr>
      <t xml:space="preserve"> / P.P. (R.O.H.)        </t>
    </r>
  </si>
  <si>
    <t>Min. 1, Max. 3+1 / 4 (inf. dahil)</t>
  </si>
  <si>
    <t>1 ADULT</t>
  </si>
  <si>
    <t>Min. 2  öder</t>
  </si>
  <si>
    <t>2 Yatak Odası</t>
  </si>
  <si>
    <t>1 ADL + 3 CHD (02-12,99 + 02-12,99 + 02-12,99)</t>
  </si>
  <si>
    <t>2 ADULT</t>
  </si>
  <si>
    <t>2 ADL + 2 CHD (02-12,99 + 02-12,99)</t>
  </si>
  <si>
    <t>3 ADULT</t>
  </si>
  <si>
    <t>3 ADL + 1 CHD (02-12,99)</t>
  </si>
  <si>
    <t>4 ADULT</t>
  </si>
  <si>
    <r>
      <t>FAMILY ELITE</t>
    </r>
    <r>
      <rPr>
        <b/>
        <sz val="11"/>
        <color indexed="60"/>
        <rFont val="Calibri"/>
        <family val="2"/>
        <charset val="162"/>
      </rPr>
      <t xml:space="preserve"> / P.P. (R.O.H.)           </t>
    </r>
  </si>
  <si>
    <t>Min. 2, Max. 5+1 / 6 (inf. dahil)</t>
  </si>
  <si>
    <t>Min. 2 öder</t>
  </si>
  <si>
    <t xml:space="preserve">2 Yatak Odası + 1 Salon </t>
  </si>
  <si>
    <t>2 ADL + 3 CHD (02-12,99 + 02-12,99 + 02-12,99)</t>
  </si>
  <si>
    <t>2 ADL + 4 CHD (02-12,99 + 02-12,99 + 02-12,99 + 02-12,99)</t>
  </si>
  <si>
    <t>3 ADL + 2 CHD (02-12,99 + 02-12,99)</t>
  </si>
  <si>
    <t>3 ADL + 3 CHD (02-12,99 + 02-12,99 + 02-12,99)</t>
  </si>
  <si>
    <t>4 ADL + 1 CHD (02-12,99)</t>
  </si>
  <si>
    <t>4 ADL + 2 CHD (02-12,99 + 02-12,99)</t>
  </si>
  <si>
    <t>5 ADULT</t>
  </si>
  <si>
    <t>5 ADL + 1 CHD (02-12,99)</t>
  </si>
  <si>
    <t>6 ADULT</t>
  </si>
  <si>
    <t>Release Day</t>
  </si>
  <si>
    <t>Min. Stay</t>
  </si>
  <si>
    <r>
      <rPr>
        <sz val="10"/>
        <color rgb="FF242424"/>
        <rFont val="Calibri"/>
        <scheme val="minor"/>
      </rPr>
      <t xml:space="preserve">2025-2026 Kış sezonu SAĞLIK TURIZMI Pazarı satışlarınız için geçerli olacak GRAND PARK LARA Hotelimize ait </t>
    </r>
    <r>
      <rPr>
        <b/>
        <sz val="10"/>
        <color rgb="FF242424"/>
        <rFont val="Calibri"/>
        <scheme val="minor"/>
      </rPr>
      <t>ULTRA All Inclusive</t>
    </r>
    <r>
      <rPr>
        <sz val="10"/>
        <color rgb="FF242424"/>
        <rFont val="Calibri"/>
        <scheme val="minor"/>
      </rPr>
      <t xml:space="preserve"> Fiyat Teklifimiz ekte bilgilerinize sunulmuştur.</t>
    </r>
  </si>
  <si>
    <t xml:space="preserve">Münferit rezervasyonlar ve İç pazar tatil rezervasyonları için fiyatlarımız geçerli değildir. </t>
  </si>
  <si>
    <t>31.12.2025 Gecesi zorunlu veya opsiyonel Gala Yemeği organizasyonu yoktur !!!</t>
  </si>
  <si>
    <t xml:space="preserve">Tabloda belirtilen fiyatlar, hiçbir şekilde son kullanıcı erişimine açık olan online satış platformlarına, Metasearch kanallarına, 3.parti satıcılara ve yatak bankalarına kullandırılamaz </t>
  </si>
  <si>
    <t>Ekteki fiyat tablosunda belirtilen fiyatlarımıza KDV ve diğer tüm vergiler dahildir.</t>
  </si>
  <si>
    <t>Faturalamada giriş günü T.C.M.B Döviz Alış kuru esastır.</t>
  </si>
  <si>
    <t>SOR-SAT fiyatlardır. Rezervasyon öncesi müsaitlik sorulmasını rica ederiz.</t>
  </si>
  <si>
    <t>İş bu form ile topladığımız verileriniz Şirketimiz web sitesinde yer alan Aydınlatma Beyanı çerçevesinde toplanıp işlenmektedir.</t>
  </si>
  <si>
    <t>Detay bilgi ve haklarınıza aşağıdaki linkten ulaşabilirsiniz.</t>
  </si>
  <si>
    <t>https://www.corendonhotels.com/corendon-hotels/kurumsal/genel-aydinlatma-beyani</t>
  </si>
  <si>
    <t>Hotelimizde Misafirlerinizi ağırlamaktan mutluluk duyacağımızı belirtir, iyi iş birliğimizin artarak devamını temenni ederiz.</t>
  </si>
  <si>
    <t>CORENDON HOTELS İLETİŞİM BİLGİLERİ</t>
  </si>
  <si>
    <t>Merkez Ofis</t>
  </si>
  <si>
    <t>Güzeloba Mah. Çağlayangil Cad. No:29/B 07230  Muratpaşa / ANTALYA</t>
  </si>
  <si>
    <t>Telefon</t>
  </si>
  <si>
    <t>0242 407 00 00</t>
  </si>
  <si>
    <t>Web Sayfası</t>
  </si>
  <si>
    <t>www.corendonhotels.com</t>
  </si>
  <si>
    <t>Info</t>
  </si>
  <si>
    <t>info@corendonhotels.com.tr</t>
  </si>
  <si>
    <t>Merkez Satış &amp; Pazarlama</t>
  </si>
  <si>
    <t>sales@corendonhotels.com.tr</t>
  </si>
  <si>
    <t>Merkez Rezervasyon</t>
  </si>
  <si>
    <t>reservation@corendonhotels.com.tr</t>
  </si>
  <si>
    <t>Merkez Muhasebe</t>
  </si>
  <si>
    <t>chq.acc@corendonhotels.com.tr</t>
  </si>
  <si>
    <t>Şirket Ünvanı</t>
  </si>
  <si>
    <t xml:space="preserve">AZ OTEL İŞLETMELERİ ANONİM ŞİRKETİ </t>
  </si>
  <si>
    <t>Vergi Dairesi</t>
  </si>
  <si>
    <t xml:space="preserve">Antalya Kurumlar Vergi Dairesi: 127 125 2877 </t>
  </si>
  <si>
    <t>Satış Direktörü</t>
  </si>
  <si>
    <t>Alpaslan GÜNEY</t>
  </si>
  <si>
    <t>alpaslanguney@corendonhotels.com.tr</t>
  </si>
  <si>
    <t>Satış Grup Müdürü</t>
  </si>
  <si>
    <t>Meral KILIÇ KARABÖCEK</t>
  </si>
  <si>
    <t>meralkarabocek@corendonhotels.com.tr</t>
  </si>
  <si>
    <t>Rezervasyon Müdürü</t>
  </si>
  <si>
    <t>Ezgi KORKMAZ</t>
  </si>
  <si>
    <t>ezgikorkmaz@corendonhotels.com.tr</t>
  </si>
  <si>
    <t>GRAND PARK LARA</t>
  </si>
  <si>
    <t>Adres</t>
  </si>
  <si>
    <t>Kemerağzı Mah. Yaşar Sobutay Blv. No: 37-39/A 07110 Kundu - Aksu / ANTALYA</t>
  </si>
  <si>
    <t>0242 352 44 44</t>
  </si>
  <si>
    <t>Fax</t>
  </si>
  <si>
    <t>0242 352 40 50</t>
  </si>
  <si>
    <t>Banka Hesap Bilgileri</t>
  </si>
  <si>
    <t>HALK BANKASI</t>
  </si>
  <si>
    <r>
      <rPr>
        <b/>
        <sz val="11"/>
        <rFont val="Calibri"/>
        <family val="2"/>
        <charset val="162"/>
      </rPr>
      <t xml:space="preserve">TL </t>
    </r>
    <r>
      <rPr>
        <sz val="11"/>
        <rFont val="Calibri"/>
        <family val="2"/>
        <charset val="162"/>
      </rPr>
      <t xml:space="preserve">        TR89 0001 2009 6240 0010 2607 01</t>
    </r>
  </si>
  <si>
    <t>624 - Antalya Ticari Şubesi</t>
  </si>
  <si>
    <r>
      <rPr>
        <b/>
        <sz val="11"/>
        <rFont val="Calibri"/>
        <family val="2"/>
        <charset val="162"/>
      </rPr>
      <t>EURO</t>
    </r>
    <r>
      <rPr>
        <sz val="11"/>
        <rFont val="Calibri"/>
        <family val="2"/>
        <charset val="162"/>
      </rPr>
      <t xml:space="preserve">   TR63 0001 2009 6240 0058 0007 86</t>
    </r>
  </si>
  <si>
    <r>
      <rPr>
        <b/>
        <sz val="11"/>
        <rFont val="Calibri"/>
        <family val="2"/>
        <charset val="162"/>
      </rPr>
      <t>USD</t>
    </r>
    <r>
      <rPr>
        <sz val="11"/>
        <rFont val="Calibri"/>
        <family val="2"/>
        <charset val="162"/>
      </rPr>
      <t xml:space="preserve">      TR27 0001 2009 6240 0053 0010 84</t>
    </r>
  </si>
  <si>
    <t>Swift Code : TRHBTR2A</t>
  </si>
  <si>
    <t>GARANTİ BANKASI</t>
  </si>
  <si>
    <r>
      <rPr>
        <b/>
        <sz val="11"/>
        <rFont val="Calibri"/>
        <family val="2"/>
        <charset val="162"/>
      </rPr>
      <t xml:space="preserve">TL </t>
    </r>
    <r>
      <rPr>
        <sz val="11"/>
        <rFont val="Calibri"/>
        <family val="2"/>
        <charset val="162"/>
      </rPr>
      <t xml:space="preserve">        TR94 0006 2000 0140 0006 2952 29</t>
    </r>
  </si>
  <si>
    <t>0014 - Antalya Ticari Şubesi</t>
  </si>
  <si>
    <r>
      <rPr>
        <b/>
        <sz val="11"/>
        <rFont val="Calibri"/>
        <family val="2"/>
        <charset val="162"/>
      </rPr>
      <t>EURO</t>
    </r>
    <r>
      <rPr>
        <sz val="11"/>
        <rFont val="Calibri"/>
        <family val="2"/>
        <charset val="162"/>
      </rPr>
      <t xml:space="preserve">   TR88 0006 2000 0140 0009 0894 22</t>
    </r>
  </si>
  <si>
    <r>
      <rPr>
        <b/>
        <sz val="11"/>
        <rFont val="Calibri"/>
        <family val="2"/>
        <charset val="162"/>
      </rPr>
      <t>USD</t>
    </r>
    <r>
      <rPr>
        <sz val="11"/>
        <rFont val="Calibri"/>
        <family val="2"/>
        <charset val="162"/>
      </rPr>
      <t xml:space="preserve">      TR18 0006 2000 0140 0009 0894 21</t>
    </r>
  </si>
  <si>
    <t>Swift Code : TGBATRIS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</si>
</sst>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[$€-407]"/>
    <numFmt numFmtId="165" formatCode="#,##0.00\ [$€-407]"/>
  </numFmts>
  <fonts count="39">
    <font>
      <sz val="10"/>
      <name val="Arial Tur"/>
      <charset val="162"/>
    </font>
    <font>
      <u/>
      <sz val="10"/>
      <color indexed="12"/>
      <name val="Arial Tur"/>
      <charset val="162"/>
    </font>
    <font>
      <sz val="11"/>
      <color indexed="8"/>
      <name val="Calibri"/>
      <family val="2"/>
      <charset val="162"/>
    </font>
    <font>
      <sz val="10"/>
      <name val="Helv"/>
      <charset val="204"/>
    </font>
    <font>
      <b/>
      <sz val="11"/>
      <name val="Calibri"/>
      <family val="2"/>
      <charset val="162"/>
    </font>
    <font>
      <sz val="11"/>
      <name val="Calibri"/>
      <family val="2"/>
      <charset val="162"/>
    </font>
    <font>
      <b/>
      <sz val="11"/>
      <color indexed="60"/>
      <name val="Calibri"/>
      <family val="2"/>
      <charset val="162"/>
    </font>
    <font>
      <sz val="1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u/>
      <sz val="11"/>
      <color indexed="12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9"/>
      <name val="Calibri"/>
      <family val="2"/>
      <charset val="162"/>
      <scheme val="minor"/>
    </font>
    <font>
      <b/>
      <sz val="9"/>
      <color indexed="8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11"/>
      <color rgb="FFC00000"/>
      <name val="Calibri"/>
      <family val="2"/>
      <charset val="162"/>
      <scheme val="minor"/>
    </font>
    <font>
      <u/>
      <sz val="10"/>
      <color indexed="12"/>
      <name val="Calibri"/>
      <family val="2"/>
      <charset val="162"/>
      <scheme val="minor"/>
    </font>
    <font>
      <u/>
      <sz val="10"/>
      <color theme="10"/>
      <name val="Calibri"/>
      <family val="2"/>
      <charset val="162"/>
      <scheme val="minor"/>
    </font>
    <font>
      <u/>
      <sz val="10"/>
      <color indexed="12"/>
      <name val="Calibri"/>
      <family val="2"/>
      <scheme val="minor"/>
    </font>
    <font>
      <b/>
      <sz val="14"/>
      <name val="Calibri"/>
      <family val="2"/>
      <charset val="162"/>
      <scheme val="minor"/>
    </font>
    <font>
      <b/>
      <u/>
      <sz val="10"/>
      <color rgb="FFC00000"/>
      <name val="Calibri"/>
      <family val="2"/>
      <charset val="162"/>
      <scheme val="minor"/>
    </font>
    <font>
      <b/>
      <sz val="10"/>
      <color rgb="FFC00000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sz val="14"/>
      <color rgb="FFFF0000"/>
      <name val="Calibri"/>
      <family val="2"/>
      <charset val="162"/>
      <scheme val="minor"/>
    </font>
    <font>
      <u/>
      <sz val="10"/>
      <color theme="10"/>
      <name val="Arial Tur"/>
      <charset val="162"/>
    </font>
    <font>
      <sz val="10"/>
      <name val="Calibri"/>
      <scheme val="minor"/>
    </font>
    <font>
      <sz val="10"/>
      <color rgb="FF242424"/>
      <name val="Calibri"/>
      <scheme val="minor"/>
    </font>
    <font>
      <u/>
      <sz val="10"/>
      <color theme="10"/>
      <name val="Calibri"/>
      <scheme val="minor"/>
    </font>
    <font>
      <sz val="10"/>
      <color theme="0"/>
      <name val="Arial Tur"/>
      <charset val="162"/>
    </font>
    <font>
      <b/>
      <sz val="9"/>
      <color theme="0"/>
      <name val="Calibri"/>
      <family val="2"/>
      <charset val="162"/>
      <scheme val="minor"/>
    </font>
    <font>
      <sz val="9"/>
      <color theme="0"/>
      <name val="Calibri"/>
      <family val="2"/>
      <charset val="162"/>
      <scheme val="minor"/>
    </font>
    <font>
      <sz val="10"/>
      <color rgb="FFC00000"/>
      <name val="Calibri"/>
      <scheme val="minor"/>
    </font>
    <font>
      <b/>
      <sz val="10"/>
      <name val="Calibri"/>
    </font>
    <font>
      <b/>
      <sz val="10"/>
      <color rgb="FF000000"/>
      <name val="Calibri"/>
    </font>
    <font>
      <b/>
      <sz val="10"/>
      <color rgb="FFFF0000"/>
      <name val="Calibri"/>
    </font>
    <font>
      <b/>
      <sz val="10"/>
      <color rgb="FF242424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3" fillId="0" borderId="0"/>
    <xf numFmtId="0" fontId="27" fillId="0" borderId="0" applyNumberFormat="0" applyFill="0" applyBorder="0" applyAlignment="0" applyProtection="0"/>
  </cellStyleXfs>
  <cellXfs count="177">
    <xf numFmtId="0" fontId="0" fillId="0" borderId="0" xfId="0"/>
    <xf numFmtId="0" fontId="0" fillId="3" borderId="0" xfId="0" applyFill="1"/>
    <xf numFmtId="0" fontId="7" fillId="3" borderId="1" xfId="0" applyFont="1" applyFill="1" applyBorder="1"/>
    <xf numFmtId="0" fontId="7" fillId="3" borderId="2" xfId="0" applyFont="1" applyFill="1" applyBorder="1"/>
    <xf numFmtId="0" fontId="8" fillId="3" borderId="3" xfId="0" applyFont="1" applyFill="1" applyBorder="1"/>
    <xf numFmtId="0" fontId="8" fillId="3" borderId="4" xfId="0" applyFont="1" applyFill="1" applyBorder="1"/>
    <xf numFmtId="0" fontId="8" fillId="3" borderId="5" xfId="0" applyFont="1" applyFill="1" applyBorder="1"/>
    <xf numFmtId="0" fontId="8" fillId="3" borderId="6" xfId="0" applyFont="1" applyFill="1" applyBorder="1"/>
    <xf numFmtId="0" fontId="8" fillId="3" borderId="7" xfId="0" applyFont="1" applyFill="1" applyBorder="1"/>
    <xf numFmtId="0" fontId="9" fillId="3" borderId="3" xfId="0" applyFont="1" applyFill="1" applyBorder="1"/>
    <xf numFmtId="0" fontId="8" fillId="3" borderId="10" xfId="0" applyFont="1" applyFill="1" applyBorder="1"/>
    <xf numFmtId="0" fontId="9" fillId="3" borderId="11" xfId="0" applyFont="1" applyFill="1" applyBorder="1"/>
    <xf numFmtId="0" fontId="8" fillId="3" borderId="12" xfId="0" applyFont="1" applyFill="1" applyBorder="1"/>
    <xf numFmtId="0" fontId="10" fillId="3" borderId="13" xfId="1" applyFont="1" applyFill="1" applyBorder="1" applyAlignment="1" applyProtection="1"/>
    <xf numFmtId="0" fontId="8" fillId="3" borderId="3" xfId="0" applyFont="1" applyFill="1" applyBorder="1" applyAlignment="1">
      <alignment vertical="center"/>
    </xf>
    <xf numFmtId="0" fontId="9" fillId="3" borderId="11" xfId="0" applyFont="1" applyFill="1" applyBorder="1" applyAlignment="1">
      <alignment vertical="center"/>
    </xf>
    <xf numFmtId="0" fontId="8" fillId="3" borderId="4" xfId="0" applyFont="1" applyFill="1" applyBorder="1" applyAlignment="1">
      <alignment vertical="center"/>
    </xf>
    <xf numFmtId="0" fontId="9" fillId="3" borderId="14" xfId="0" applyFont="1" applyFill="1" applyBorder="1" applyAlignment="1">
      <alignment vertical="center"/>
    </xf>
    <xf numFmtId="0" fontId="8" fillId="3" borderId="12" xfId="0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10" xfId="0" applyFont="1" applyFill="1" applyBorder="1" applyAlignment="1">
      <alignment vertical="center"/>
    </xf>
    <xf numFmtId="0" fontId="8" fillId="3" borderId="13" xfId="1" applyFont="1" applyFill="1" applyBorder="1" applyAlignment="1" applyProtection="1">
      <alignment vertical="center"/>
    </xf>
    <xf numFmtId="0" fontId="11" fillId="3" borderId="10" xfId="1" applyFont="1" applyFill="1" applyBorder="1" applyAlignment="1" applyProtection="1"/>
    <xf numFmtId="0" fontId="9" fillId="3" borderId="14" xfId="0" applyFont="1" applyFill="1" applyBorder="1" applyAlignment="1">
      <alignment horizontal="left" vertical="center"/>
    </xf>
    <xf numFmtId="0" fontId="7" fillId="2" borderId="0" xfId="0" applyFont="1" applyFill="1"/>
    <xf numFmtId="0" fontId="12" fillId="2" borderId="3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/>
    </xf>
    <xf numFmtId="0" fontId="13" fillId="2" borderId="0" xfId="0" applyFont="1" applyFill="1"/>
    <xf numFmtId="0" fontId="12" fillId="2" borderId="0" xfId="2" applyFont="1" applyFill="1" applyAlignment="1">
      <alignment horizontal="left"/>
    </xf>
    <xf numFmtId="0" fontId="12" fillId="2" borderId="0" xfId="0" applyFont="1" applyFill="1" applyAlignment="1">
      <alignment horizontal="center"/>
    </xf>
    <xf numFmtId="0" fontId="12" fillId="2" borderId="3" xfId="0" applyFont="1" applyFill="1" applyBorder="1"/>
    <xf numFmtId="0" fontId="14" fillId="2" borderId="3" xfId="2" applyFont="1" applyFill="1" applyBorder="1"/>
    <xf numFmtId="0" fontId="12" fillId="2" borderId="7" xfId="2" applyFont="1" applyFill="1" applyBorder="1" applyAlignment="1">
      <alignment horizontal="center" vertical="center"/>
    </xf>
    <xf numFmtId="165" fontId="14" fillId="2" borderId="11" xfId="2" applyNumberFormat="1" applyFont="1" applyFill="1" applyBorder="1" applyAlignment="1">
      <alignment horizontal="center"/>
    </xf>
    <xf numFmtId="0" fontId="12" fillId="2" borderId="12" xfId="0" applyFont="1" applyFill="1" applyBorder="1"/>
    <xf numFmtId="0" fontId="12" fillId="2" borderId="15" xfId="2" applyFont="1" applyFill="1" applyBorder="1"/>
    <xf numFmtId="0" fontId="15" fillId="3" borderId="4" xfId="2" applyFont="1" applyFill="1" applyBorder="1" applyAlignment="1">
      <alignment horizontal="center" vertical="center"/>
    </xf>
    <xf numFmtId="165" fontId="15" fillId="3" borderId="18" xfId="2" applyNumberFormat="1" applyFont="1" applyFill="1" applyBorder="1" applyAlignment="1">
      <alignment horizontal="center"/>
    </xf>
    <xf numFmtId="0" fontId="12" fillId="2" borderId="4" xfId="0" applyFont="1" applyFill="1" applyBorder="1"/>
    <xf numFmtId="165" fontId="15" fillId="3" borderId="14" xfId="2" applyNumberFormat="1" applyFont="1" applyFill="1" applyBorder="1" applyAlignment="1">
      <alignment horizontal="center"/>
    </xf>
    <xf numFmtId="0" fontId="12" fillId="2" borderId="19" xfId="0" applyFont="1" applyFill="1" applyBorder="1"/>
    <xf numFmtId="165" fontId="15" fillId="3" borderId="20" xfId="2" applyNumberFormat="1" applyFont="1" applyFill="1" applyBorder="1" applyAlignment="1">
      <alignment horizontal="center"/>
    </xf>
    <xf numFmtId="0" fontId="12" fillId="2" borderId="10" xfId="0" applyFont="1" applyFill="1" applyBorder="1"/>
    <xf numFmtId="0" fontId="12" fillId="2" borderId="5" xfId="2" applyFont="1" applyFill="1" applyBorder="1" applyAlignment="1">
      <alignment horizontal="center" vertical="center"/>
    </xf>
    <xf numFmtId="165" fontId="12" fillId="2" borderId="13" xfId="2" applyNumberFormat="1" applyFont="1" applyFill="1" applyBorder="1" applyAlignment="1">
      <alignment horizontal="center"/>
    </xf>
    <xf numFmtId="165" fontId="15" fillId="2" borderId="4" xfId="3" applyNumberFormat="1" applyFont="1" applyFill="1" applyBorder="1" applyAlignment="1">
      <alignment horizontal="center"/>
    </xf>
    <xf numFmtId="0" fontId="12" fillId="2" borderId="4" xfId="2" applyFont="1" applyFill="1" applyBorder="1" applyAlignment="1">
      <alignment horizontal="center" vertical="center"/>
    </xf>
    <xf numFmtId="165" fontId="15" fillId="2" borderId="12" xfId="3" applyNumberFormat="1" applyFont="1" applyFill="1" applyBorder="1" applyAlignment="1">
      <alignment horizontal="center"/>
    </xf>
    <xf numFmtId="0" fontId="12" fillId="2" borderId="21" xfId="0" applyFont="1" applyFill="1" applyBorder="1"/>
    <xf numFmtId="165" fontId="15" fillId="2" borderId="7" xfId="0" applyNumberFormat="1" applyFont="1" applyFill="1" applyBorder="1" applyAlignment="1">
      <alignment horizontal="center"/>
    </xf>
    <xf numFmtId="0" fontId="12" fillId="2" borderId="22" xfId="0" applyFont="1" applyFill="1" applyBorder="1"/>
    <xf numFmtId="165" fontId="15" fillId="2" borderId="4" xfId="0" applyNumberFormat="1" applyFont="1" applyFill="1" applyBorder="1" applyAlignment="1">
      <alignment horizontal="center"/>
    </xf>
    <xf numFmtId="0" fontId="12" fillId="2" borderId="23" xfId="0" applyFont="1" applyFill="1" applyBorder="1"/>
    <xf numFmtId="0" fontId="15" fillId="3" borderId="5" xfId="2" applyFont="1" applyFill="1" applyBorder="1" applyAlignment="1">
      <alignment horizontal="center" vertical="center"/>
    </xf>
    <xf numFmtId="165" fontId="15" fillId="0" borderId="5" xfId="0" applyNumberFormat="1" applyFont="1" applyBorder="1" applyAlignment="1">
      <alignment horizontal="center"/>
    </xf>
    <xf numFmtId="165" fontId="15" fillId="0" borderId="7" xfId="0" applyNumberFormat="1" applyFont="1" applyBorder="1" applyAlignment="1">
      <alignment horizontal="center"/>
    </xf>
    <xf numFmtId="0" fontId="12" fillId="2" borderId="17" xfId="0" applyFont="1" applyFill="1" applyBorder="1"/>
    <xf numFmtId="165" fontId="15" fillId="0" borderId="6" xfId="0" applyNumberFormat="1" applyFont="1" applyBorder="1" applyAlignment="1">
      <alignment horizontal="center"/>
    </xf>
    <xf numFmtId="0" fontId="12" fillId="3" borderId="22" xfId="0" applyFont="1" applyFill="1" applyBorder="1"/>
    <xf numFmtId="0" fontId="12" fillId="3" borderId="4" xfId="2" applyFont="1" applyFill="1" applyBorder="1" applyAlignment="1">
      <alignment horizontal="center" vertical="center"/>
    </xf>
    <xf numFmtId="165" fontId="12" fillId="3" borderId="4" xfId="0" applyNumberFormat="1" applyFont="1" applyFill="1" applyBorder="1" applyAlignment="1">
      <alignment horizontal="center"/>
    </xf>
    <xf numFmtId="0" fontId="12" fillId="3" borderId="17" xfId="0" applyFont="1" applyFill="1" applyBorder="1"/>
    <xf numFmtId="0" fontId="12" fillId="3" borderId="5" xfId="2" applyFont="1" applyFill="1" applyBorder="1" applyAlignment="1">
      <alignment horizontal="center" vertical="center"/>
    </xf>
    <xf numFmtId="165" fontId="12" fillId="3" borderId="10" xfId="0" applyNumberFormat="1" applyFont="1" applyFill="1" applyBorder="1" applyAlignment="1">
      <alignment horizontal="center"/>
    </xf>
    <xf numFmtId="0" fontId="12" fillId="3" borderId="21" xfId="0" applyFont="1" applyFill="1" applyBorder="1" applyAlignment="1">
      <alignment horizontal="left"/>
    </xf>
    <xf numFmtId="0" fontId="12" fillId="3" borderId="7" xfId="2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/>
    </xf>
    <xf numFmtId="0" fontId="12" fillId="3" borderId="23" xfId="0" applyFont="1" applyFill="1" applyBorder="1"/>
    <xf numFmtId="165" fontId="12" fillId="3" borderId="5" xfId="0" applyNumberFormat="1" applyFont="1" applyFill="1" applyBorder="1" applyAlignment="1">
      <alignment horizontal="center"/>
    </xf>
    <xf numFmtId="0" fontId="16" fillId="2" borderId="0" xfId="0" applyFont="1" applyFill="1" applyAlignment="1">
      <alignment horizontal="left"/>
    </xf>
    <xf numFmtId="0" fontId="16" fillId="2" borderId="0" xfId="0" applyFont="1" applyFill="1"/>
    <xf numFmtId="0" fontId="16" fillId="3" borderId="0" xfId="0" applyFont="1" applyFill="1"/>
    <xf numFmtId="0" fontId="7" fillId="3" borderId="0" xfId="0" applyFont="1" applyFill="1"/>
    <xf numFmtId="0" fontId="17" fillId="3" borderId="0" xfId="0" applyFont="1" applyFill="1" applyAlignment="1">
      <alignment horizontal="right"/>
    </xf>
    <xf numFmtId="0" fontId="5" fillId="3" borderId="11" xfId="1" applyFont="1" applyFill="1" applyBorder="1" applyAlignment="1" applyProtection="1">
      <alignment vertical="center"/>
    </xf>
    <xf numFmtId="0" fontId="5" fillId="3" borderId="14" xfId="1" applyFont="1" applyFill="1" applyBorder="1" applyAlignment="1" applyProtection="1">
      <alignment vertical="center"/>
    </xf>
    <xf numFmtId="0" fontId="5" fillId="3" borderId="4" xfId="1" applyFont="1" applyFill="1" applyBorder="1" applyAlignment="1" applyProtection="1">
      <alignment vertical="center"/>
    </xf>
    <xf numFmtId="164" fontId="18" fillId="4" borderId="6" xfId="3" applyNumberFormat="1" applyFont="1" applyFill="1" applyBorder="1" applyAlignment="1">
      <alignment horizontal="center"/>
    </xf>
    <xf numFmtId="0" fontId="18" fillId="4" borderId="24" xfId="2" applyFont="1" applyFill="1" applyBorder="1"/>
    <xf numFmtId="0" fontId="18" fillId="4" borderId="25" xfId="2" applyFont="1" applyFill="1" applyBorder="1"/>
    <xf numFmtId="164" fontId="18" fillId="4" borderId="3" xfId="3" applyNumberFormat="1" applyFont="1" applyFill="1" applyBorder="1" applyAlignment="1">
      <alignment horizontal="center"/>
    </xf>
    <xf numFmtId="0" fontId="12" fillId="3" borderId="24" xfId="0" applyFont="1" applyFill="1" applyBorder="1" applyAlignment="1">
      <alignment horizontal="left"/>
    </xf>
    <xf numFmtId="0" fontId="19" fillId="3" borderId="25" xfId="1" applyFont="1" applyFill="1" applyBorder="1" applyAlignment="1" applyProtection="1"/>
    <xf numFmtId="0" fontId="12" fillId="3" borderId="21" xfId="0" applyFont="1" applyFill="1" applyBorder="1"/>
    <xf numFmtId="0" fontId="12" fillId="3" borderId="3" xfId="2" applyFont="1" applyFill="1" applyBorder="1" applyAlignment="1">
      <alignment horizontal="center" vertical="center"/>
    </xf>
    <xf numFmtId="0" fontId="12" fillId="3" borderId="26" xfId="0" applyFont="1" applyFill="1" applyBorder="1"/>
    <xf numFmtId="165" fontId="12" fillId="3" borderId="15" xfId="0" applyNumberFormat="1" applyFont="1" applyFill="1" applyBorder="1" applyAlignment="1">
      <alignment horizontal="center"/>
    </xf>
    <xf numFmtId="0" fontId="12" fillId="3" borderId="10" xfId="2" applyFont="1" applyFill="1" applyBorder="1" applyAlignment="1">
      <alignment horizontal="center" vertical="center"/>
    </xf>
    <xf numFmtId="0" fontId="20" fillId="3" borderId="8" xfId="1" applyFont="1" applyFill="1" applyBorder="1" applyAlignment="1" applyProtection="1"/>
    <xf numFmtId="0" fontId="20" fillId="3" borderId="14" xfId="1" applyFont="1" applyFill="1" applyBorder="1" applyAlignment="1" applyProtection="1"/>
    <xf numFmtId="0" fontId="0" fillId="0" borderId="12" xfId="0" applyBorder="1"/>
    <xf numFmtId="0" fontId="15" fillId="5" borderId="7" xfId="2" applyFont="1" applyFill="1" applyBorder="1" applyAlignment="1">
      <alignment horizontal="center" vertical="center"/>
    </xf>
    <xf numFmtId="0" fontId="15" fillId="5" borderId="5" xfId="2" applyFont="1" applyFill="1" applyBorder="1" applyAlignment="1">
      <alignment horizontal="center" vertical="center"/>
    </xf>
    <xf numFmtId="0" fontId="15" fillId="5" borderId="6" xfId="2" applyFont="1" applyFill="1" applyBorder="1" applyAlignment="1">
      <alignment horizontal="center" vertical="center"/>
    </xf>
    <xf numFmtId="0" fontId="21" fillId="3" borderId="9" xfId="1" applyFont="1" applyFill="1" applyBorder="1" applyAlignment="1" applyProtection="1"/>
    <xf numFmtId="0" fontId="28" fillId="3" borderId="0" xfId="0" applyFont="1" applyFill="1"/>
    <xf numFmtId="0" fontId="28" fillId="0" borderId="0" xfId="0" applyFont="1"/>
    <xf numFmtId="0" fontId="12" fillId="6" borderId="7" xfId="0" applyFont="1" applyFill="1" applyBorder="1"/>
    <xf numFmtId="0" fontId="15" fillId="6" borderId="7" xfId="2" applyFont="1" applyFill="1" applyBorder="1" applyAlignment="1">
      <alignment horizontal="center" vertical="center"/>
    </xf>
    <xf numFmtId="165" fontId="15" fillId="6" borderId="7" xfId="3" applyNumberFormat="1" applyFont="1" applyFill="1" applyBorder="1" applyAlignment="1">
      <alignment horizontal="center"/>
    </xf>
    <xf numFmtId="0" fontId="12" fillId="6" borderId="19" xfId="0" applyFont="1" applyFill="1" applyBorder="1"/>
    <xf numFmtId="0" fontId="15" fillId="6" borderId="4" xfId="2" applyFont="1" applyFill="1" applyBorder="1" applyAlignment="1">
      <alignment horizontal="center" vertical="center"/>
    </xf>
    <xf numFmtId="165" fontId="15" fillId="6" borderId="4" xfId="3" applyNumberFormat="1" applyFont="1" applyFill="1" applyBorder="1" applyAlignment="1">
      <alignment horizontal="center"/>
    </xf>
    <xf numFmtId="0" fontId="5" fillId="7" borderId="8" xfId="0" applyFont="1" applyFill="1" applyBorder="1"/>
    <xf numFmtId="0" fontId="5" fillId="7" borderId="13" xfId="0" applyFont="1" applyFill="1" applyBorder="1"/>
    <xf numFmtId="0" fontId="31" fillId="3" borderId="0" xfId="0" applyFont="1" applyFill="1"/>
    <xf numFmtId="164" fontId="32" fillId="3" borderId="0" xfId="3" applyNumberFormat="1" applyFont="1" applyFill="1" applyAlignment="1">
      <alignment horizontal="center"/>
    </xf>
    <xf numFmtId="0" fontId="35" fillId="3" borderId="16" xfId="0" applyFont="1" applyFill="1" applyBorder="1" applyAlignment="1">
      <alignment horizontal="center"/>
    </xf>
    <xf numFmtId="0" fontId="16" fillId="3" borderId="17" xfId="0" applyFont="1" applyFill="1" applyBorder="1" applyAlignment="1">
      <alignment horizontal="center"/>
    </xf>
    <xf numFmtId="0" fontId="17" fillId="3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12" fillId="2" borderId="3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8" fillId="4" borderId="24" xfId="2" applyFont="1" applyFill="1" applyBorder="1" applyAlignment="1">
      <alignment horizontal="left"/>
    </xf>
    <xf numFmtId="0" fontId="18" fillId="4" borderId="25" xfId="2" applyFont="1" applyFill="1" applyBorder="1" applyAlignment="1">
      <alignment horizontal="left"/>
    </xf>
    <xf numFmtId="0" fontId="16" fillId="3" borderId="3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30" fillId="3" borderId="28" xfId="4" applyFont="1" applyFill="1" applyBorder="1" applyAlignment="1" applyProtection="1">
      <alignment horizontal="left"/>
    </xf>
    <xf numFmtId="0" fontId="30" fillId="3" borderId="29" xfId="4" applyFont="1" applyFill="1" applyBorder="1" applyAlignment="1" applyProtection="1">
      <alignment horizontal="left"/>
    </xf>
    <xf numFmtId="0" fontId="30" fillId="3" borderId="30" xfId="4" applyFont="1" applyFill="1" applyBorder="1" applyAlignment="1" applyProtection="1">
      <alignment horizontal="left"/>
    </xf>
    <xf numFmtId="0" fontId="28" fillId="3" borderId="28" xfId="0" applyFont="1" applyFill="1" applyBorder="1" applyAlignment="1">
      <alignment horizontal="left"/>
    </xf>
    <xf numFmtId="0" fontId="28" fillId="3" borderId="29" xfId="0" applyFont="1" applyFill="1" applyBorder="1" applyAlignment="1">
      <alignment horizontal="left"/>
    </xf>
    <xf numFmtId="0" fontId="28" fillId="3" borderId="30" xfId="0" applyFont="1" applyFill="1" applyBorder="1" applyAlignment="1">
      <alignment horizontal="left"/>
    </xf>
    <xf numFmtId="0" fontId="28" fillId="3" borderId="28" xfId="0" applyFont="1" applyFill="1" applyBorder="1" applyAlignment="1">
      <alignment horizontal="left" vertical="center" wrapText="1"/>
    </xf>
    <xf numFmtId="0" fontId="28" fillId="3" borderId="29" xfId="0" applyFont="1" applyFill="1" applyBorder="1" applyAlignment="1">
      <alignment horizontal="left" vertical="center" wrapText="1"/>
    </xf>
    <xf numFmtId="0" fontId="28" fillId="3" borderId="30" xfId="0" applyFont="1" applyFill="1" applyBorder="1" applyAlignment="1">
      <alignment horizontal="left" vertical="center" wrapText="1"/>
    </xf>
    <xf numFmtId="0" fontId="29" fillId="0" borderId="28" xfId="0" applyFont="1" applyBorder="1" applyAlignment="1">
      <alignment wrapText="1"/>
    </xf>
    <xf numFmtId="0" fontId="29" fillId="0" borderId="29" xfId="0" applyFont="1" applyBorder="1" applyAlignment="1">
      <alignment wrapText="1"/>
    </xf>
    <xf numFmtId="0" fontId="29" fillId="0" borderId="30" xfId="0" applyFont="1" applyBorder="1" applyAlignment="1">
      <alignment wrapText="1"/>
    </xf>
    <xf numFmtId="0" fontId="28" fillId="3" borderId="27" xfId="0" quotePrefix="1" applyFont="1" applyFill="1" applyBorder="1" applyAlignment="1">
      <alignment horizontal="left" wrapText="1"/>
    </xf>
    <xf numFmtId="0" fontId="12" fillId="3" borderId="24" xfId="0" applyFont="1" applyFill="1" applyBorder="1" applyAlignment="1">
      <alignment horizontal="left"/>
    </xf>
    <xf numFmtId="0" fontId="12" fillId="3" borderId="25" xfId="0" applyFont="1" applyFill="1" applyBorder="1" applyAlignment="1">
      <alignment horizontal="left"/>
    </xf>
    <xf numFmtId="0" fontId="29" fillId="0" borderId="27" xfId="0" applyFont="1" applyBorder="1" applyAlignment="1">
      <alignment wrapText="1"/>
    </xf>
    <xf numFmtId="0" fontId="34" fillId="3" borderId="27" xfId="0" applyFont="1" applyFill="1" applyBorder="1" applyAlignment="1">
      <alignment horizontal="left"/>
    </xf>
    <xf numFmtId="0" fontId="28" fillId="3" borderId="28" xfId="0" applyFont="1" applyFill="1" applyBorder="1" applyAlignment="1">
      <alignment horizontal="left" vertical="center"/>
    </xf>
    <xf numFmtId="0" fontId="28" fillId="3" borderId="29" xfId="0" applyFont="1" applyFill="1" applyBorder="1" applyAlignment="1">
      <alignment horizontal="left" vertical="center"/>
    </xf>
    <xf numFmtId="0" fontId="28" fillId="3" borderId="30" xfId="0" applyFont="1" applyFill="1" applyBorder="1" applyAlignment="1">
      <alignment horizontal="left" vertical="center"/>
    </xf>
    <xf numFmtId="0" fontId="34" fillId="3" borderId="28" xfId="0" applyFont="1" applyFill="1" applyBorder="1" applyAlignment="1">
      <alignment horizontal="left"/>
    </xf>
    <xf numFmtId="0" fontId="34" fillId="3" borderId="29" xfId="0" applyFont="1" applyFill="1" applyBorder="1" applyAlignment="1">
      <alignment horizontal="left"/>
    </xf>
    <xf numFmtId="0" fontId="34" fillId="3" borderId="30" xfId="0" applyFont="1" applyFill="1" applyBorder="1" applyAlignment="1">
      <alignment horizontal="left"/>
    </xf>
    <xf numFmtId="0" fontId="26" fillId="3" borderId="24" xfId="0" applyFont="1" applyFill="1" applyBorder="1" applyAlignment="1">
      <alignment horizontal="center" vertical="center"/>
    </xf>
    <xf numFmtId="0" fontId="26" fillId="3" borderId="25" xfId="0" applyFont="1" applyFill="1" applyBorder="1" applyAlignment="1">
      <alignment horizontal="center" vertical="center"/>
    </xf>
    <xf numFmtId="0" fontId="25" fillId="3" borderId="24" xfId="0" applyFont="1" applyFill="1" applyBorder="1" applyAlignment="1">
      <alignment horizontal="center" vertical="center"/>
    </xf>
    <xf numFmtId="0" fontId="25" fillId="3" borderId="25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left" vertical="center"/>
    </xf>
    <xf numFmtId="0" fontId="8" fillId="3" borderId="25" xfId="0" applyFont="1" applyFill="1" applyBorder="1" applyAlignment="1">
      <alignment horizontal="left" vertical="center"/>
    </xf>
    <xf numFmtId="0" fontId="12" fillId="8" borderId="3" xfId="0" applyFont="1" applyFill="1" applyBorder="1" applyAlignment="1">
      <alignment horizontal="center"/>
    </xf>
    <xf numFmtId="0" fontId="35" fillId="8" borderId="7" xfId="0" applyFont="1" applyFill="1" applyBorder="1" applyAlignment="1">
      <alignment horizontal="center"/>
    </xf>
    <xf numFmtId="0" fontId="16" fillId="8" borderId="10" xfId="0" applyFont="1" applyFill="1" applyBorder="1" applyAlignment="1">
      <alignment horizontal="center"/>
    </xf>
    <xf numFmtId="0" fontId="12" fillId="8" borderId="0" xfId="0" applyFont="1" applyFill="1" applyAlignment="1">
      <alignment horizontal="center"/>
    </xf>
    <xf numFmtId="164" fontId="18" fillId="8" borderId="6" xfId="3" applyNumberFormat="1" applyFont="1" applyFill="1" applyBorder="1" applyAlignment="1">
      <alignment horizontal="center"/>
    </xf>
    <xf numFmtId="165" fontId="14" fillId="8" borderId="11" xfId="2" applyNumberFormat="1" applyFont="1" applyFill="1" applyBorder="1" applyAlignment="1">
      <alignment horizontal="center"/>
    </xf>
    <xf numFmtId="165" fontId="15" fillId="8" borderId="18" xfId="2" applyNumberFormat="1" applyFont="1" applyFill="1" applyBorder="1" applyAlignment="1">
      <alignment horizontal="center"/>
    </xf>
    <xf numFmtId="165" fontId="15" fillId="8" borderId="14" xfId="2" applyNumberFormat="1" applyFont="1" applyFill="1" applyBorder="1" applyAlignment="1">
      <alignment horizontal="center"/>
    </xf>
    <xf numFmtId="165" fontId="15" fillId="8" borderId="20" xfId="2" applyNumberFormat="1" applyFont="1" applyFill="1" applyBorder="1" applyAlignment="1">
      <alignment horizontal="center"/>
    </xf>
    <xf numFmtId="165" fontId="12" fillId="8" borderId="13" xfId="2" applyNumberFormat="1" applyFont="1" applyFill="1" applyBorder="1" applyAlignment="1">
      <alignment horizontal="center"/>
    </xf>
    <xf numFmtId="165" fontId="15" fillId="8" borderId="7" xfId="3" applyNumberFormat="1" applyFont="1" applyFill="1" applyBorder="1" applyAlignment="1">
      <alignment horizontal="center"/>
    </xf>
    <xf numFmtId="165" fontId="15" fillId="8" borderId="4" xfId="3" applyNumberFormat="1" applyFont="1" applyFill="1" applyBorder="1" applyAlignment="1">
      <alignment horizontal="center"/>
    </xf>
    <xf numFmtId="165" fontId="15" fillId="8" borderId="12" xfId="3" applyNumberFormat="1" applyFont="1" applyFill="1" applyBorder="1" applyAlignment="1">
      <alignment horizontal="center"/>
    </xf>
    <xf numFmtId="165" fontId="15" fillId="8" borderId="7" xfId="0" applyNumberFormat="1" applyFont="1" applyFill="1" applyBorder="1" applyAlignment="1">
      <alignment horizontal="center"/>
    </xf>
    <xf numFmtId="165" fontId="15" fillId="8" borderId="4" xfId="0" applyNumberFormat="1" applyFont="1" applyFill="1" applyBorder="1" applyAlignment="1">
      <alignment horizontal="center"/>
    </xf>
    <xf numFmtId="165" fontId="15" fillId="8" borderId="5" xfId="0" applyNumberFormat="1" applyFont="1" applyFill="1" applyBorder="1" applyAlignment="1">
      <alignment horizontal="center"/>
    </xf>
    <xf numFmtId="165" fontId="15" fillId="8" borderId="6" xfId="0" applyNumberFormat="1" applyFont="1" applyFill="1" applyBorder="1" applyAlignment="1">
      <alignment horizontal="center"/>
    </xf>
    <xf numFmtId="164" fontId="18" fillId="8" borderId="3" xfId="3" applyNumberFormat="1" applyFont="1" applyFill="1" applyBorder="1" applyAlignment="1">
      <alignment horizontal="center"/>
    </xf>
    <xf numFmtId="165" fontId="12" fillId="8" borderId="7" xfId="0" applyNumberFormat="1" applyFont="1" applyFill="1" applyBorder="1" applyAlignment="1">
      <alignment horizontal="center"/>
    </xf>
    <xf numFmtId="165" fontId="12" fillId="8" borderId="4" xfId="0" applyNumberFormat="1" applyFont="1" applyFill="1" applyBorder="1" applyAlignment="1">
      <alignment horizontal="center"/>
    </xf>
    <xf numFmtId="165" fontId="12" fillId="8" borderId="15" xfId="0" applyNumberFormat="1" applyFont="1" applyFill="1" applyBorder="1" applyAlignment="1">
      <alignment horizontal="center"/>
    </xf>
    <xf numFmtId="165" fontId="12" fillId="8" borderId="10" xfId="0" applyNumberFormat="1" applyFont="1" applyFill="1" applyBorder="1" applyAlignment="1">
      <alignment horizontal="center"/>
    </xf>
    <xf numFmtId="165" fontId="12" fillId="8" borderId="5" xfId="0" applyNumberFormat="1" applyFont="1" applyFill="1" applyBorder="1" applyAlignment="1">
      <alignment horizontal="center"/>
    </xf>
    <xf numFmtId="0" fontId="23" fillId="8" borderId="3" xfId="2" applyFont="1" applyFill="1" applyBorder="1" applyAlignment="1">
      <alignment horizontal="left" vertical="center"/>
    </xf>
    <xf numFmtId="0" fontId="24" fillId="8" borderId="12" xfId="2" applyFont="1" applyFill="1" applyBorder="1" applyAlignment="1">
      <alignment horizontal="left" vertical="center"/>
    </xf>
    <xf numFmtId="0" fontId="24" fillId="8" borderId="10" xfId="2" applyFont="1" applyFill="1" applyBorder="1" applyAlignment="1">
      <alignment horizontal="left" vertical="center"/>
    </xf>
    <xf numFmtId="0" fontId="32" fillId="3" borderId="0" xfId="0" applyFont="1" applyFill="1"/>
    <xf numFmtId="164" fontId="32" fillId="3" borderId="0" xfId="3" applyNumberFormat="1" applyFont="1" applyFill="1" applyAlignment="1">
      <alignment horizontal="center" vertical="top"/>
    </xf>
    <xf numFmtId="0" fontId="33" fillId="3" borderId="0" xfId="0" applyFont="1" applyFill="1"/>
  </cellXfs>
  <cellStyles count="5">
    <cellStyle name="Hyperlink" xfId="4" xr:uid="{00000000-000B-0000-0000-000008000000}"/>
    <cellStyle name="Köprü" xfId="1" builtinId="8"/>
    <cellStyle name="Normal" xfId="0" builtinId="0"/>
    <cellStyle name="Normal_Sayfa1" xfId="2" xr:uid="{C9A964C9-E309-41BC-92CE-CA8D683052B8}"/>
    <cellStyle name="Normal_SERA EURO" xfId="3" xr:uid="{E5C8EAA1-9E9A-415A-98EA-491A12F6B6C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2371725</xdr:colOff>
      <xdr:row>2</xdr:row>
      <xdr:rowOff>171450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25410398-3A50-8E18-8D6A-807ECD6EE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0"/>
          <a:ext cx="2371725" cy="476250"/>
        </a:xfrm>
        <a:prstGeom prst="rect">
          <a:avLst/>
        </a:prstGeom>
      </xdr:spPr>
    </xdr:pic>
    <xdr:clientData/>
  </xdr:twoCellAnchor>
  <xdr:twoCellAnchor editAs="oneCell">
    <xdr:from>
      <xdr:col>5</xdr:col>
      <xdr:colOff>1447800</xdr:colOff>
      <xdr:row>0</xdr:row>
      <xdr:rowOff>9525</xdr:rowOff>
    </xdr:from>
    <xdr:to>
      <xdr:col>7</xdr:col>
      <xdr:colOff>114300</xdr:colOff>
      <xdr:row>3</xdr:row>
      <xdr:rowOff>57150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5A68FAAF-0B41-344F-704A-92721EDC9F29}"/>
            </a:ext>
            <a:ext uri="{147F2762-F138-4A5C-976F-8EAC2B608ADB}">
              <a16:predDERef xmlns:a16="http://schemas.microsoft.com/office/drawing/2014/main" pred="{25410398-3A50-8E18-8D6A-807ECD6EE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48825" y="9525"/>
          <a:ext cx="2409825" cy="561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4714875</xdr:colOff>
      <xdr:row>1</xdr:row>
      <xdr:rowOff>38100</xdr:rowOff>
    </xdr:from>
    <xdr:to>
      <xdr:col>1</xdr:col>
      <xdr:colOff>6105525</xdr:colOff>
      <xdr:row>1</xdr:row>
      <xdr:rowOff>495300</xdr:rowOff>
    </xdr:to>
    <xdr:pic>
      <xdr:nvPicPr>
        <xdr:cNvPr id="3468" name="Resim 1">
          <a:extLst>
            <a:ext uri="{FF2B5EF4-FFF2-40B4-BE49-F238E27FC236}">
              <a16:creationId xmlns:a16="http://schemas.microsoft.com/office/drawing/2014/main" id="{B3DAB444-C054-891D-2A12-4C19FE2CF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0" y="276225"/>
          <a:ext cx="13906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4086225</xdr:colOff>
      <xdr:row>19</xdr:row>
      <xdr:rowOff>28575</xdr:rowOff>
    </xdr:from>
    <xdr:to>
      <xdr:col>1</xdr:col>
      <xdr:colOff>6162675</xdr:colOff>
      <xdr:row>19</xdr:row>
      <xdr:rowOff>466725</xdr:rowOff>
    </xdr:to>
    <xdr:pic>
      <xdr:nvPicPr>
        <xdr:cNvPr id="3469" name="Resim 1">
          <a:extLst>
            <a:ext uri="{FF2B5EF4-FFF2-40B4-BE49-F238E27FC236}">
              <a16:creationId xmlns:a16="http://schemas.microsoft.com/office/drawing/2014/main" id="{13F053CB-D203-7D9D-FD34-6EA0CA44E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0" y="4486275"/>
          <a:ext cx="20764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orendonhotels.com/corendon-hotels/kurumsal/genel-aydinlatma-beyani" TargetMode="External"/><Relationship Id="rId1" Type="http://schemas.openxmlformats.org/officeDocument/2006/relationships/hyperlink" Target="https://www.corendonhotels.com.tr/corendon-hotels/kurumsal/genel-aydinlatma-beyani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ezgikorkmaz@corendonhotels.com.tr" TargetMode="External"/><Relationship Id="rId3" Type="http://schemas.openxmlformats.org/officeDocument/2006/relationships/hyperlink" Target="mailto:reservation@corendonhotels.com.tr" TargetMode="External"/><Relationship Id="rId7" Type="http://schemas.openxmlformats.org/officeDocument/2006/relationships/hyperlink" Target="mailto:alpaslanguney@corendonhotels.com.tr" TargetMode="External"/><Relationship Id="rId2" Type="http://schemas.openxmlformats.org/officeDocument/2006/relationships/hyperlink" Target="mailto:chq.acc@corendonhotels.com.tr" TargetMode="External"/><Relationship Id="rId1" Type="http://schemas.openxmlformats.org/officeDocument/2006/relationships/hyperlink" Target="http://www.corendonhotels.com/" TargetMode="External"/><Relationship Id="rId6" Type="http://schemas.openxmlformats.org/officeDocument/2006/relationships/hyperlink" Target="mailto:meralkarabocek@corendonhotels.com.tr" TargetMode="External"/><Relationship Id="rId5" Type="http://schemas.openxmlformats.org/officeDocument/2006/relationships/hyperlink" Target="mailto:info@corendonhotels.com.tr" TargetMode="External"/><Relationship Id="rId10" Type="http://schemas.openxmlformats.org/officeDocument/2006/relationships/drawing" Target="../drawings/drawing2.xml"/><Relationship Id="rId4" Type="http://schemas.openxmlformats.org/officeDocument/2006/relationships/hyperlink" Target="mailto:sales@corendonhotels.com.tr" TargetMode="External"/><Relationship Id="rId9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4D5B0-A564-47A6-B1BF-2BF19D10FA48}">
  <dimension ref="A1:H58"/>
  <sheetViews>
    <sheetView tabSelected="1" zoomScaleNormal="100" workbookViewId="0">
      <selection activeCell="F46" sqref="F46"/>
    </sheetView>
  </sheetViews>
  <sheetFormatPr defaultRowHeight="12.75"/>
  <cols>
    <col min="1" max="1" width="4.7109375" customWidth="1"/>
    <col min="2" max="2" width="41.7109375" customWidth="1"/>
    <col min="3" max="3" width="9.42578125" customWidth="1"/>
    <col min="4" max="4" width="31" customWidth="1"/>
    <col min="5" max="5" width="30.28515625" customWidth="1"/>
    <col min="6" max="6" width="30.140625" customWidth="1"/>
    <col min="7" max="7" width="26" customWidth="1"/>
    <col min="8" max="8" width="12.7109375" bestFit="1" customWidth="1"/>
  </cols>
  <sheetData>
    <row r="1" spans="1:8" ht="7.5" customHeight="1">
      <c r="A1" s="1"/>
      <c r="B1" s="73"/>
      <c r="C1" s="73"/>
      <c r="D1" s="73"/>
      <c r="E1" s="73"/>
      <c r="F1" s="73"/>
      <c r="G1" s="73"/>
    </row>
    <row r="2" spans="1:8" ht="16.5" customHeight="1">
      <c r="A2" s="1"/>
      <c r="B2" s="110" t="s">
        <v>0</v>
      </c>
      <c r="C2" s="110"/>
      <c r="D2" s="110"/>
      <c r="E2" s="110"/>
      <c r="F2" s="110"/>
      <c r="G2" s="74"/>
    </row>
    <row r="3" spans="1:8" ht="16.5" customHeight="1">
      <c r="A3" s="1"/>
      <c r="B3" s="111" t="s">
        <v>1</v>
      </c>
      <c r="C3" s="111"/>
      <c r="D3" s="111"/>
      <c r="E3" s="111"/>
      <c r="F3" s="111"/>
      <c r="G3" s="111"/>
    </row>
    <row r="4" spans="1:8" ht="6" customHeight="1" thickBot="1">
      <c r="A4" s="1"/>
      <c r="B4" s="25"/>
      <c r="C4" s="25"/>
      <c r="D4" s="25"/>
      <c r="E4" s="25"/>
      <c r="F4" s="25"/>
      <c r="G4" s="25"/>
    </row>
    <row r="5" spans="1:8" ht="13.9" customHeight="1" thickBot="1">
      <c r="A5" s="1"/>
      <c r="B5" s="171" t="s">
        <v>2</v>
      </c>
      <c r="C5" s="112" t="s">
        <v>3</v>
      </c>
      <c r="D5" s="26" t="s">
        <v>4</v>
      </c>
      <c r="E5" s="148" t="s">
        <v>5</v>
      </c>
      <c r="F5" s="26" t="s">
        <v>6</v>
      </c>
      <c r="G5" s="28"/>
      <c r="H5" t="s">
        <v>7</v>
      </c>
    </row>
    <row r="6" spans="1:8" ht="13.15" customHeight="1">
      <c r="A6" s="1"/>
      <c r="B6" s="172"/>
      <c r="C6" s="113"/>
      <c r="D6" s="108" t="s">
        <v>8</v>
      </c>
      <c r="E6" s="149" t="s">
        <v>9</v>
      </c>
      <c r="F6" s="117" t="s">
        <v>10</v>
      </c>
      <c r="G6" s="28"/>
    </row>
    <row r="7" spans="1:8" ht="13.9" customHeight="1" thickBot="1">
      <c r="A7" s="1"/>
      <c r="B7" s="173"/>
      <c r="C7" s="114"/>
      <c r="D7" s="109"/>
      <c r="E7" s="150" t="s">
        <v>11</v>
      </c>
      <c r="F7" s="118"/>
      <c r="G7" s="28"/>
    </row>
    <row r="8" spans="1:8" ht="7.5" customHeight="1" thickBot="1">
      <c r="A8" s="1"/>
      <c r="B8" s="29"/>
      <c r="C8" s="29"/>
      <c r="D8" s="30"/>
      <c r="E8" s="151"/>
      <c r="F8" s="30"/>
      <c r="G8" s="28"/>
    </row>
    <row r="9" spans="1:8" ht="14.25" customHeight="1" thickBot="1">
      <c r="A9" s="1"/>
      <c r="B9" s="115" t="s">
        <v>12</v>
      </c>
      <c r="C9" s="116"/>
      <c r="D9" s="78">
        <v>50</v>
      </c>
      <c r="E9" s="152">
        <v>45</v>
      </c>
      <c r="F9" s="78">
        <v>55</v>
      </c>
      <c r="G9" s="31" t="s">
        <v>13</v>
      </c>
    </row>
    <row r="10" spans="1:8" ht="13.5" customHeight="1">
      <c r="A10" s="1"/>
      <c r="B10" s="32" t="s">
        <v>14</v>
      </c>
      <c r="C10" s="33">
        <v>2</v>
      </c>
      <c r="D10" s="34">
        <f>SUM(D9*2)</f>
        <v>100</v>
      </c>
      <c r="E10" s="153">
        <f>SUM(E9*2)</f>
        <v>90</v>
      </c>
      <c r="F10" s="34">
        <f>SUM(F9*2)</f>
        <v>110</v>
      </c>
      <c r="G10" s="35"/>
    </row>
    <row r="11" spans="1:8" ht="13.5" customHeight="1">
      <c r="A11" s="1"/>
      <c r="B11" s="36" t="s">
        <v>15</v>
      </c>
      <c r="C11" s="37">
        <v>1.5</v>
      </c>
      <c r="D11" s="38">
        <f>D9*1.5</f>
        <v>75</v>
      </c>
      <c r="E11" s="154">
        <f>E9*1.5</f>
        <v>67.5</v>
      </c>
      <c r="F11" s="38">
        <f>F9*1.5</f>
        <v>82.5</v>
      </c>
      <c r="G11" s="35"/>
    </row>
    <row r="12" spans="1:8" ht="13.5" customHeight="1">
      <c r="A12" s="1"/>
      <c r="B12" s="39" t="s">
        <v>16</v>
      </c>
      <c r="C12" s="37">
        <v>1.5</v>
      </c>
      <c r="D12" s="40">
        <f>D9*1.5</f>
        <v>75</v>
      </c>
      <c r="E12" s="155">
        <f>E9*1.5</f>
        <v>67.5</v>
      </c>
      <c r="F12" s="40">
        <f>F9*1.5</f>
        <v>82.5</v>
      </c>
      <c r="G12" s="35"/>
    </row>
    <row r="13" spans="1:8" ht="13.5" customHeight="1">
      <c r="A13" s="1"/>
      <c r="B13" s="41" t="s">
        <v>17</v>
      </c>
      <c r="C13" s="37">
        <v>2</v>
      </c>
      <c r="D13" s="42">
        <f>D9*2</f>
        <v>100</v>
      </c>
      <c r="E13" s="156">
        <f>E9*2</f>
        <v>90</v>
      </c>
      <c r="F13" s="42">
        <f>F9*2</f>
        <v>110</v>
      </c>
      <c r="G13" s="35"/>
    </row>
    <row r="14" spans="1:8" ht="13.5" customHeight="1" thickBot="1">
      <c r="A14" s="1"/>
      <c r="B14" s="43" t="s">
        <v>18</v>
      </c>
      <c r="C14" s="44">
        <v>2</v>
      </c>
      <c r="D14" s="45">
        <f>D9*2</f>
        <v>100</v>
      </c>
      <c r="E14" s="157">
        <f>E9*2</f>
        <v>90</v>
      </c>
      <c r="F14" s="45">
        <f>F9*2</f>
        <v>110</v>
      </c>
      <c r="G14" s="43"/>
    </row>
    <row r="15" spans="1:8" s="106" customFormat="1" ht="10.5" customHeight="1" thickBot="1">
      <c r="B15" s="174"/>
      <c r="C15" s="174"/>
      <c r="D15" s="175">
        <f>D9*1.15</f>
        <v>57.499999999999993</v>
      </c>
      <c r="E15" s="175">
        <f>E9*1.15</f>
        <v>51.749999999999993</v>
      </c>
      <c r="F15" s="175">
        <f>F9*1.15</f>
        <v>63.249999999999993</v>
      </c>
      <c r="G15" s="176"/>
    </row>
    <row r="16" spans="1:8" ht="14.25" customHeight="1" thickBot="1">
      <c r="A16" s="1"/>
      <c r="B16" s="115" t="s">
        <v>19</v>
      </c>
      <c r="C16" s="116"/>
      <c r="D16" s="78">
        <v>58</v>
      </c>
      <c r="E16" s="152">
        <v>52</v>
      </c>
      <c r="F16" s="78">
        <v>63</v>
      </c>
      <c r="G16" s="31" t="s">
        <v>20</v>
      </c>
    </row>
    <row r="17" spans="1:7" ht="13.5" customHeight="1">
      <c r="A17" s="1"/>
      <c r="B17" s="98" t="s">
        <v>21</v>
      </c>
      <c r="C17" s="99">
        <v>1.8</v>
      </c>
      <c r="D17" s="100">
        <f>D16*1.8</f>
        <v>104.4</v>
      </c>
      <c r="E17" s="158">
        <f>E16*1.8</f>
        <v>93.600000000000009</v>
      </c>
      <c r="F17" s="100">
        <f>F16*1.8</f>
        <v>113.4</v>
      </c>
      <c r="G17" s="35" t="s">
        <v>22</v>
      </c>
    </row>
    <row r="18" spans="1:7" ht="13.5" customHeight="1">
      <c r="A18" s="1"/>
      <c r="B18" s="101" t="s">
        <v>16</v>
      </c>
      <c r="C18" s="102">
        <v>1.8</v>
      </c>
      <c r="D18" s="103">
        <f>D16*1.8</f>
        <v>104.4</v>
      </c>
      <c r="E18" s="159">
        <f>E16*1.8</f>
        <v>93.600000000000009</v>
      </c>
      <c r="F18" s="103">
        <f>F16*1.8</f>
        <v>113.4</v>
      </c>
      <c r="G18" s="35" t="s">
        <v>23</v>
      </c>
    </row>
    <row r="19" spans="1:7" ht="13.5" customHeight="1">
      <c r="A19" s="1"/>
      <c r="B19" s="41" t="s">
        <v>17</v>
      </c>
      <c r="C19" s="47">
        <v>2</v>
      </c>
      <c r="D19" s="46">
        <f>D16*2</f>
        <v>116</v>
      </c>
      <c r="E19" s="159">
        <f>E16*2</f>
        <v>104</v>
      </c>
      <c r="F19" s="46">
        <f>F16*2</f>
        <v>126</v>
      </c>
      <c r="G19" s="35"/>
    </row>
    <row r="20" spans="1:7" ht="13.5" customHeight="1" thickBot="1">
      <c r="A20" s="1"/>
      <c r="B20" s="41" t="s">
        <v>24</v>
      </c>
      <c r="C20" s="44">
        <v>2.5</v>
      </c>
      <c r="D20" s="48">
        <f>D16*2.5</f>
        <v>145</v>
      </c>
      <c r="E20" s="160">
        <f>E16*2.5</f>
        <v>130</v>
      </c>
      <c r="F20" s="48">
        <f>F16*2.5</f>
        <v>157.5</v>
      </c>
      <c r="G20" s="35"/>
    </row>
    <row r="21" spans="1:7" ht="13.5" customHeight="1">
      <c r="A21" s="1"/>
      <c r="B21" s="49" t="s">
        <v>25</v>
      </c>
      <c r="C21" s="33">
        <v>2</v>
      </c>
      <c r="D21" s="50">
        <f>D16*2</f>
        <v>116</v>
      </c>
      <c r="E21" s="161">
        <f>E16*2</f>
        <v>104</v>
      </c>
      <c r="F21" s="50">
        <f>F16*2</f>
        <v>126</v>
      </c>
      <c r="G21" s="35"/>
    </row>
    <row r="22" spans="1:7" ht="13.5" customHeight="1">
      <c r="A22" s="1"/>
      <c r="B22" s="51" t="s">
        <v>18</v>
      </c>
      <c r="C22" s="47">
        <v>2</v>
      </c>
      <c r="D22" s="52">
        <f>D16*2</f>
        <v>116</v>
      </c>
      <c r="E22" s="162">
        <f>E16*2</f>
        <v>104</v>
      </c>
      <c r="F22" s="52">
        <f>F16*2</f>
        <v>126</v>
      </c>
      <c r="G22" s="35"/>
    </row>
    <row r="23" spans="1:7" ht="13.5" customHeight="1" thickBot="1">
      <c r="A23" s="1"/>
      <c r="B23" s="53" t="s">
        <v>26</v>
      </c>
      <c r="C23" s="54">
        <v>2.5</v>
      </c>
      <c r="D23" s="55">
        <f>D16*2.5</f>
        <v>145</v>
      </c>
      <c r="E23" s="163">
        <f>E16*2.5</f>
        <v>130</v>
      </c>
      <c r="F23" s="55">
        <f>F16*2.5</f>
        <v>157.5</v>
      </c>
      <c r="G23" s="35"/>
    </row>
    <row r="24" spans="1:7" ht="13.5" customHeight="1">
      <c r="A24" s="1"/>
      <c r="B24" s="49" t="s">
        <v>27</v>
      </c>
      <c r="C24" s="92">
        <v>2.65</v>
      </c>
      <c r="D24" s="56">
        <f>D16*2.65</f>
        <v>153.69999999999999</v>
      </c>
      <c r="E24" s="161">
        <f>E16*2.65</f>
        <v>137.79999999999998</v>
      </c>
      <c r="F24" s="56">
        <f>F16*2.65</f>
        <v>166.95</v>
      </c>
      <c r="G24" s="35"/>
    </row>
    <row r="25" spans="1:7" ht="13.5" customHeight="1" thickBot="1">
      <c r="A25" s="1"/>
      <c r="B25" s="53" t="s">
        <v>28</v>
      </c>
      <c r="C25" s="93">
        <v>2.65</v>
      </c>
      <c r="D25" s="55">
        <f>D16*2.65</f>
        <v>153.69999999999999</v>
      </c>
      <c r="E25" s="163">
        <f>E16*2.65</f>
        <v>137.79999999999998</v>
      </c>
      <c r="F25" s="55">
        <f>F16*2.65</f>
        <v>166.95</v>
      </c>
      <c r="G25" s="35"/>
    </row>
    <row r="26" spans="1:7" ht="13.5" customHeight="1" thickBot="1">
      <c r="A26" s="1"/>
      <c r="B26" s="57" t="s">
        <v>29</v>
      </c>
      <c r="C26" s="94">
        <v>3.3</v>
      </c>
      <c r="D26" s="58">
        <f>D16*3.3</f>
        <v>191.39999999999998</v>
      </c>
      <c r="E26" s="164">
        <f>E16*3.3</f>
        <v>171.6</v>
      </c>
      <c r="F26" s="58">
        <f>F16*3.3</f>
        <v>207.89999999999998</v>
      </c>
      <c r="G26" s="43"/>
    </row>
    <row r="27" spans="1:7" s="106" customFormat="1" ht="12.75" customHeight="1" thickBot="1">
      <c r="B27" s="174"/>
      <c r="C27" s="174"/>
      <c r="D27" s="107">
        <f>D9*1.4</f>
        <v>70</v>
      </c>
      <c r="E27" s="107">
        <f>E9*1.4</f>
        <v>62.999999999999993</v>
      </c>
      <c r="F27" s="107">
        <f>F9*1.4</f>
        <v>77</v>
      </c>
      <c r="G27" s="174"/>
    </row>
    <row r="28" spans="1:7" ht="14.25" customHeight="1" thickBot="1">
      <c r="A28" s="1"/>
      <c r="B28" s="79" t="s">
        <v>30</v>
      </c>
      <c r="C28" s="80"/>
      <c r="D28" s="81">
        <v>70</v>
      </c>
      <c r="E28" s="165">
        <v>63</v>
      </c>
      <c r="F28" s="81">
        <v>77</v>
      </c>
      <c r="G28" s="31" t="s">
        <v>31</v>
      </c>
    </row>
    <row r="29" spans="1:7" ht="13.5" customHeight="1">
      <c r="A29" s="1"/>
      <c r="B29" s="84" t="s">
        <v>25</v>
      </c>
      <c r="C29" s="85">
        <v>2</v>
      </c>
      <c r="D29" s="67">
        <f>D28*2</f>
        <v>140</v>
      </c>
      <c r="E29" s="166">
        <f>E28*2</f>
        <v>126</v>
      </c>
      <c r="F29" s="67">
        <f>F28*2</f>
        <v>154</v>
      </c>
      <c r="G29" s="35" t="s">
        <v>32</v>
      </c>
    </row>
    <row r="30" spans="1:7" ht="13.5" customHeight="1">
      <c r="A30" s="1"/>
      <c r="B30" s="59" t="s">
        <v>18</v>
      </c>
      <c r="C30" s="60">
        <v>2</v>
      </c>
      <c r="D30" s="61">
        <f>D28*2</f>
        <v>140</v>
      </c>
      <c r="E30" s="167">
        <f>E28*2</f>
        <v>126</v>
      </c>
      <c r="F30" s="61">
        <f>F28*2</f>
        <v>154</v>
      </c>
      <c r="G30" s="35" t="s">
        <v>33</v>
      </c>
    </row>
    <row r="31" spans="1:7" ht="13.5" customHeight="1">
      <c r="A31" s="1"/>
      <c r="B31" s="86" t="s">
        <v>26</v>
      </c>
      <c r="C31" s="60">
        <v>2.25</v>
      </c>
      <c r="D31" s="87">
        <f>D28*2.25</f>
        <v>157.5</v>
      </c>
      <c r="E31" s="168">
        <f>E28*2.25</f>
        <v>141.75</v>
      </c>
      <c r="F31" s="87">
        <f>F28*2.25</f>
        <v>173.25</v>
      </c>
      <c r="G31" s="35"/>
    </row>
    <row r="32" spans="1:7" ht="13.5" customHeight="1">
      <c r="A32" s="1"/>
      <c r="B32" s="59" t="s">
        <v>34</v>
      </c>
      <c r="C32" s="60">
        <v>2.5</v>
      </c>
      <c r="D32" s="61">
        <f>D28*2.5</f>
        <v>175</v>
      </c>
      <c r="E32" s="167">
        <f>E28*2.5</f>
        <v>157.5</v>
      </c>
      <c r="F32" s="61">
        <f>F28*2.5</f>
        <v>192.5</v>
      </c>
      <c r="G32" s="35"/>
    </row>
    <row r="33" spans="1:7" ht="13.5" customHeight="1" thickBot="1">
      <c r="A33" s="1"/>
      <c r="B33" s="62" t="s">
        <v>35</v>
      </c>
      <c r="C33" s="63">
        <v>2.75</v>
      </c>
      <c r="D33" s="64">
        <f>D28*2.75</f>
        <v>192.5</v>
      </c>
      <c r="E33" s="169">
        <f>E28*2.75</f>
        <v>173.25</v>
      </c>
      <c r="F33" s="64">
        <f>F28*2.75</f>
        <v>211.75</v>
      </c>
      <c r="G33" s="35"/>
    </row>
    <row r="34" spans="1:7" ht="13.5" customHeight="1">
      <c r="A34" s="1"/>
      <c r="B34" s="65" t="s">
        <v>27</v>
      </c>
      <c r="C34" s="66">
        <v>2.4</v>
      </c>
      <c r="D34" s="67">
        <f>D28*2.4</f>
        <v>168</v>
      </c>
      <c r="E34" s="166">
        <f>E28*2.4</f>
        <v>151.19999999999999</v>
      </c>
      <c r="F34" s="67">
        <f>F28*2.4</f>
        <v>184.79999999999998</v>
      </c>
      <c r="G34" s="35"/>
    </row>
    <row r="35" spans="1:7" ht="13.5" customHeight="1">
      <c r="A35" s="1"/>
      <c r="B35" s="59" t="s">
        <v>28</v>
      </c>
      <c r="C35" s="60">
        <v>2.4</v>
      </c>
      <c r="D35" s="61">
        <f>D28*2.4</f>
        <v>168</v>
      </c>
      <c r="E35" s="167">
        <f>E28*2.4</f>
        <v>151.19999999999999</v>
      </c>
      <c r="F35" s="61">
        <f>F28*2.4</f>
        <v>184.79999999999998</v>
      </c>
      <c r="G35" s="35"/>
    </row>
    <row r="36" spans="1:7" ht="13.5" customHeight="1">
      <c r="A36" s="1"/>
      <c r="B36" s="59" t="s">
        <v>36</v>
      </c>
      <c r="C36" s="60">
        <v>2.65</v>
      </c>
      <c r="D36" s="61">
        <f>D28*2.65</f>
        <v>185.5</v>
      </c>
      <c r="E36" s="167">
        <f>E28*2.65</f>
        <v>166.95</v>
      </c>
      <c r="F36" s="61">
        <f>F28*2.65</f>
        <v>204.04999999999998</v>
      </c>
      <c r="G36" s="35"/>
    </row>
    <row r="37" spans="1:7" ht="13.5" customHeight="1" thickBot="1">
      <c r="A37" s="1"/>
      <c r="B37" s="62" t="s">
        <v>37</v>
      </c>
      <c r="C37" s="63">
        <v>2.9</v>
      </c>
      <c r="D37" s="64">
        <f>D28*2.9</f>
        <v>203</v>
      </c>
      <c r="E37" s="169">
        <f>E28*2.9</f>
        <v>182.7</v>
      </c>
      <c r="F37" s="64">
        <f>F28*2.9</f>
        <v>223.29999999999998</v>
      </c>
      <c r="G37" s="35"/>
    </row>
    <row r="38" spans="1:7" ht="13.5" customHeight="1">
      <c r="A38" s="1"/>
      <c r="B38" s="65" t="s">
        <v>29</v>
      </c>
      <c r="C38" s="66">
        <v>2.8</v>
      </c>
      <c r="D38" s="67">
        <f>D28*2.8</f>
        <v>196</v>
      </c>
      <c r="E38" s="166">
        <f>E28*2.8</f>
        <v>176.39999999999998</v>
      </c>
      <c r="F38" s="67">
        <f>F28*2.8</f>
        <v>215.6</v>
      </c>
      <c r="G38" s="35"/>
    </row>
    <row r="39" spans="1:7" ht="13.5" customHeight="1">
      <c r="A39" s="1"/>
      <c r="B39" s="59" t="s">
        <v>38</v>
      </c>
      <c r="C39" s="60">
        <v>2.8</v>
      </c>
      <c r="D39" s="61">
        <f>D28*2.8</f>
        <v>196</v>
      </c>
      <c r="E39" s="167">
        <f>E28*2.8</f>
        <v>176.39999999999998</v>
      </c>
      <c r="F39" s="61">
        <f>F28*2.8</f>
        <v>215.6</v>
      </c>
      <c r="G39" s="35"/>
    </row>
    <row r="40" spans="1:7" ht="13.5" customHeight="1" thickBot="1">
      <c r="A40" s="1"/>
      <c r="B40" s="68" t="s">
        <v>39</v>
      </c>
      <c r="C40" s="63">
        <v>3.05</v>
      </c>
      <c r="D40" s="69">
        <f>D28*3.05</f>
        <v>213.5</v>
      </c>
      <c r="E40" s="170">
        <f>E28*3.05</f>
        <v>192.14999999999998</v>
      </c>
      <c r="F40" s="69">
        <f>F28*3.05</f>
        <v>234.85</v>
      </c>
      <c r="G40" s="35"/>
    </row>
    <row r="41" spans="1:7" ht="13.5" customHeight="1">
      <c r="A41" s="1"/>
      <c r="B41" s="65" t="s">
        <v>40</v>
      </c>
      <c r="C41" s="66">
        <v>3.2</v>
      </c>
      <c r="D41" s="67">
        <f>D28*3.2</f>
        <v>224</v>
      </c>
      <c r="E41" s="166">
        <f>E28*3.2</f>
        <v>201.60000000000002</v>
      </c>
      <c r="F41" s="67">
        <f>F28*3.2</f>
        <v>246.4</v>
      </c>
      <c r="G41" s="35"/>
    </row>
    <row r="42" spans="1:7" ht="13.5" customHeight="1" thickBot="1">
      <c r="A42" s="1"/>
      <c r="B42" s="68" t="s">
        <v>41</v>
      </c>
      <c r="C42" s="63">
        <v>3.2</v>
      </c>
      <c r="D42" s="69">
        <f>D28*3.2</f>
        <v>224</v>
      </c>
      <c r="E42" s="170">
        <f>E28*3.2</f>
        <v>201.60000000000002</v>
      </c>
      <c r="F42" s="69">
        <f>F28*3.2</f>
        <v>246.4</v>
      </c>
      <c r="G42" s="35"/>
    </row>
    <row r="43" spans="1:7" ht="13.5" customHeight="1" thickBot="1">
      <c r="A43" s="1"/>
      <c r="B43" s="82" t="s">
        <v>42</v>
      </c>
      <c r="C43" s="88">
        <v>3.6</v>
      </c>
      <c r="D43" s="64">
        <f>D28*3.6</f>
        <v>252</v>
      </c>
      <c r="E43" s="169">
        <f>E28*3.6</f>
        <v>226.8</v>
      </c>
      <c r="F43" s="64">
        <f>F28*3.6</f>
        <v>277.2</v>
      </c>
      <c r="G43" s="43"/>
    </row>
    <row r="44" spans="1:7" ht="4.1500000000000004" customHeight="1" thickBot="1">
      <c r="A44" s="1"/>
      <c r="B44" s="70"/>
      <c r="C44" s="70"/>
      <c r="D44" s="71"/>
      <c r="E44" s="71"/>
      <c r="F44" s="71"/>
      <c r="G44" s="72"/>
    </row>
    <row r="45" spans="1:7" ht="13.5" thickBot="1">
      <c r="A45" s="1"/>
      <c r="B45" s="132" t="s">
        <v>43</v>
      </c>
      <c r="C45" s="133"/>
      <c r="D45" s="27">
        <v>3</v>
      </c>
      <c r="E45" s="27">
        <v>3</v>
      </c>
      <c r="F45" s="27">
        <v>3</v>
      </c>
      <c r="G45" s="73"/>
    </row>
    <row r="46" spans="1:7" ht="13.5" thickBot="1">
      <c r="A46" s="1"/>
      <c r="B46" s="132" t="s">
        <v>44</v>
      </c>
      <c r="C46" s="133"/>
      <c r="D46" s="27">
        <v>3</v>
      </c>
      <c r="E46" s="27">
        <v>3</v>
      </c>
      <c r="F46" s="27">
        <v>5</v>
      </c>
      <c r="G46" s="73"/>
    </row>
    <row r="47" spans="1:7" ht="9" customHeight="1">
      <c r="A47" s="1"/>
      <c r="B47" s="71"/>
      <c r="C47" s="71"/>
      <c r="D47" s="71"/>
      <c r="E47" s="71"/>
      <c r="F47" s="71"/>
      <c r="G47" s="71"/>
    </row>
    <row r="48" spans="1:7" s="97" customFormat="1" ht="12" customHeight="1">
      <c r="A48" s="96"/>
      <c r="B48" s="134" t="s">
        <v>45</v>
      </c>
      <c r="C48" s="134"/>
      <c r="D48" s="134"/>
      <c r="E48" s="134"/>
      <c r="F48" s="134"/>
      <c r="G48" s="134"/>
    </row>
    <row r="49" spans="1:7" s="97" customFormat="1" ht="12" customHeight="1">
      <c r="A49" s="96"/>
      <c r="B49" s="128" t="s">
        <v>46</v>
      </c>
      <c r="C49" s="129"/>
      <c r="D49" s="129"/>
      <c r="E49" s="129"/>
      <c r="F49" s="129"/>
      <c r="G49" s="130"/>
    </row>
    <row r="50" spans="1:7" s="97" customFormat="1" ht="12" customHeight="1">
      <c r="A50" s="96"/>
      <c r="B50" s="135" t="s">
        <v>47</v>
      </c>
      <c r="C50" s="135"/>
      <c r="D50" s="135"/>
      <c r="E50" s="135"/>
      <c r="F50" s="135"/>
      <c r="G50" s="135"/>
    </row>
    <row r="51" spans="1:7" s="97" customFormat="1" ht="12" customHeight="1">
      <c r="A51" s="96"/>
      <c r="B51" s="131" t="s">
        <v>48</v>
      </c>
      <c r="C51" s="131"/>
      <c r="D51" s="131"/>
      <c r="E51" s="131"/>
      <c r="F51" s="131"/>
      <c r="G51" s="131"/>
    </row>
    <row r="52" spans="1:7" s="97" customFormat="1" ht="12" customHeight="1">
      <c r="B52" s="136" t="s">
        <v>49</v>
      </c>
      <c r="C52" s="137"/>
      <c r="D52" s="137"/>
      <c r="E52" s="137"/>
      <c r="F52" s="137"/>
      <c r="G52" s="138"/>
    </row>
    <row r="53" spans="1:7" s="97" customFormat="1" ht="12" customHeight="1">
      <c r="B53" s="125" t="s">
        <v>50</v>
      </c>
      <c r="C53" s="126"/>
      <c r="D53" s="126"/>
      <c r="E53" s="126"/>
      <c r="F53" s="126"/>
      <c r="G53" s="127"/>
    </row>
    <row r="54" spans="1:7" s="97" customFormat="1" ht="12" customHeight="1">
      <c r="B54" s="122" t="s">
        <v>51</v>
      </c>
      <c r="C54" s="123"/>
      <c r="D54" s="123"/>
      <c r="E54" s="123"/>
      <c r="F54" s="123"/>
      <c r="G54" s="124"/>
    </row>
    <row r="55" spans="1:7" s="97" customFormat="1" ht="12" customHeight="1">
      <c r="B55" s="139" t="s">
        <v>52</v>
      </c>
      <c r="C55" s="140"/>
      <c r="D55" s="140"/>
      <c r="E55" s="140"/>
      <c r="F55" s="140"/>
      <c r="G55" s="141"/>
    </row>
    <row r="56" spans="1:7" s="97" customFormat="1" ht="12" customHeight="1">
      <c r="B56" s="139" t="s">
        <v>53</v>
      </c>
      <c r="C56" s="140"/>
      <c r="D56" s="140"/>
      <c r="E56" s="140"/>
      <c r="F56" s="140"/>
      <c r="G56" s="141"/>
    </row>
    <row r="57" spans="1:7" s="97" customFormat="1" ht="12" customHeight="1">
      <c r="B57" s="119" t="s">
        <v>54</v>
      </c>
      <c r="C57" s="120"/>
      <c r="D57" s="120"/>
      <c r="E57" s="120"/>
      <c r="F57" s="120"/>
      <c r="G57" s="121"/>
    </row>
    <row r="58" spans="1:7" s="97" customFormat="1" ht="12" customHeight="1">
      <c r="B58" s="122" t="s">
        <v>55</v>
      </c>
      <c r="C58" s="123"/>
      <c r="D58" s="123"/>
      <c r="E58" s="123"/>
      <c r="F58" s="123"/>
      <c r="G58" s="124"/>
    </row>
  </sheetData>
  <mergeCells count="20">
    <mergeCell ref="B55:G55"/>
    <mergeCell ref="B56:G56"/>
    <mergeCell ref="B57:G57"/>
    <mergeCell ref="B58:G58"/>
    <mergeCell ref="B53:G53"/>
    <mergeCell ref="B16:C16"/>
    <mergeCell ref="B49:G49"/>
    <mergeCell ref="B51:G51"/>
    <mergeCell ref="B45:C45"/>
    <mergeCell ref="B46:C46"/>
    <mergeCell ref="B48:G48"/>
    <mergeCell ref="B50:G50"/>
    <mergeCell ref="B52:G52"/>
    <mergeCell ref="B54:G54"/>
    <mergeCell ref="B2:F2"/>
    <mergeCell ref="B3:G3"/>
    <mergeCell ref="B5:B7"/>
    <mergeCell ref="C5:C7"/>
    <mergeCell ref="B9:C9"/>
    <mergeCell ref="F6:F7"/>
  </mergeCells>
  <hyperlinks>
    <hyperlink ref="B57" r:id="rId1" display="https://www.corendonhotels.com.tr/corendon-hotels/kurumsal/genel-aydinlatma-beyani" xr:uid="{9694E9CE-8B3D-4F5F-96B4-7D91F1563456}"/>
    <hyperlink ref="B57:G57" r:id="rId2" display="https://www.corendonhotels.com/corendon-hotels/kurumsal/genel-aydinlatma-beyani" xr:uid="{E6C2A04D-6EA7-449A-8839-7F18F7BA0859}"/>
  </hyperlinks>
  <pageMargins left="0.35433070866141736" right="0.35433070866141736" top="0.15748031496062992" bottom="0.15748031496062992" header="0.31496062992125984" footer="0.31496062992125984"/>
  <pageSetup paperSize="9" scale="78"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14D0A-41D6-44FF-80E6-9D330E20AD07}">
  <dimension ref="A1:B32"/>
  <sheetViews>
    <sheetView topLeftCell="A19" zoomScaleNormal="100" workbookViewId="0">
      <selection activeCell="F18" sqref="F18"/>
    </sheetView>
  </sheetViews>
  <sheetFormatPr defaultRowHeight="12.75"/>
  <cols>
    <col min="1" max="1" width="35.140625" customWidth="1"/>
    <col min="2" max="2" width="92.7109375" customWidth="1"/>
  </cols>
  <sheetData>
    <row r="1" spans="1:2" ht="19.149999999999999" customHeight="1" thickBot="1">
      <c r="A1" s="1"/>
      <c r="B1" s="1"/>
    </row>
    <row r="2" spans="1:2" ht="42" customHeight="1" thickBot="1">
      <c r="A2" s="142" t="s">
        <v>56</v>
      </c>
      <c r="B2" s="143"/>
    </row>
    <row r="3" spans="1:2" ht="8.25" customHeight="1" thickBot="1">
      <c r="A3" s="2"/>
      <c r="B3" s="3"/>
    </row>
    <row r="4" spans="1:2" ht="15">
      <c r="A4" s="4" t="s">
        <v>57</v>
      </c>
      <c r="B4" s="15" t="s">
        <v>58</v>
      </c>
    </row>
    <row r="5" spans="1:2" ht="15.75" thickBot="1">
      <c r="A5" s="5" t="s">
        <v>59</v>
      </c>
      <c r="B5" s="24" t="s">
        <v>60</v>
      </c>
    </row>
    <row r="6" spans="1:2" ht="15.75" thickBot="1">
      <c r="A6" s="7" t="s">
        <v>61</v>
      </c>
      <c r="B6" s="83" t="s">
        <v>62</v>
      </c>
    </row>
    <row r="7" spans="1:2" ht="15">
      <c r="A7" s="8" t="s">
        <v>63</v>
      </c>
      <c r="B7" s="89" t="s">
        <v>64</v>
      </c>
    </row>
    <row r="8" spans="1:2" ht="15">
      <c r="A8" s="5" t="s">
        <v>65</v>
      </c>
      <c r="B8" s="90" t="s">
        <v>66</v>
      </c>
    </row>
    <row r="9" spans="1:2" ht="15">
      <c r="A9" s="5" t="s">
        <v>67</v>
      </c>
      <c r="B9" s="90" t="s">
        <v>68</v>
      </c>
    </row>
    <row r="10" spans="1:2" ht="15">
      <c r="A10" s="6" t="s">
        <v>69</v>
      </c>
      <c r="B10" s="95" t="s">
        <v>70</v>
      </c>
    </row>
    <row r="11" spans="1:2" ht="15">
      <c r="A11" s="8" t="s">
        <v>71</v>
      </c>
      <c r="B11" s="104" t="s">
        <v>72</v>
      </c>
    </row>
    <row r="12" spans="1:2" ht="15">
      <c r="A12" s="6" t="s">
        <v>73</v>
      </c>
      <c r="B12" s="105" t="s">
        <v>74</v>
      </c>
    </row>
    <row r="13" spans="1:2" ht="15">
      <c r="A13" s="4" t="s">
        <v>75</v>
      </c>
      <c r="B13" s="9" t="s">
        <v>76</v>
      </c>
    </row>
    <row r="14" spans="1:2" ht="15">
      <c r="A14" s="10"/>
      <c r="B14" s="23" t="s">
        <v>77</v>
      </c>
    </row>
    <row r="15" spans="1:2" ht="15">
      <c r="A15" s="4" t="s">
        <v>78</v>
      </c>
      <c r="B15" s="11" t="s">
        <v>79</v>
      </c>
    </row>
    <row r="16" spans="1:2" ht="15.75" thickBot="1">
      <c r="A16" s="12"/>
      <c r="B16" s="13" t="s">
        <v>80</v>
      </c>
    </row>
    <row r="17" spans="1:2" ht="15">
      <c r="A17" s="4" t="s">
        <v>81</v>
      </c>
      <c r="B17" s="9" t="s">
        <v>82</v>
      </c>
    </row>
    <row r="18" spans="1:2" ht="15.75" thickBot="1">
      <c r="A18" s="10"/>
      <c r="B18" s="23" t="s">
        <v>83</v>
      </c>
    </row>
    <row r="19" spans="1:2" ht="21.6" customHeight="1">
      <c r="A19" s="2"/>
      <c r="B19" s="3"/>
    </row>
    <row r="20" spans="1:2" ht="41.45" customHeight="1">
      <c r="A20" s="144" t="s">
        <v>84</v>
      </c>
      <c r="B20" s="145"/>
    </row>
    <row r="21" spans="1:2" ht="15">
      <c r="A21" s="14" t="s">
        <v>85</v>
      </c>
      <c r="B21" s="15" t="s">
        <v>86</v>
      </c>
    </row>
    <row r="22" spans="1:2" ht="15">
      <c r="A22" s="16" t="s">
        <v>59</v>
      </c>
      <c r="B22" s="17" t="s">
        <v>87</v>
      </c>
    </row>
    <row r="23" spans="1:2" ht="15">
      <c r="A23" s="18" t="s">
        <v>88</v>
      </c>
      <c r="B23" s="19" t="s">
        <v>89</v>
      </c>
    </row>
    <row r="24" spans="1:2" ht="15">
      <c r="A24" s="146" t="s">
        <v>90</v>
      </c>
      <c r="B24" s="147"/>
    </row>
    <row r="25" spans="1:2" ht="15">
      <c r="A25" s="14" t="s">
        <v>91</v>
      </c>
      <c r="B25" s="75" t="s">
        <v>92</v>
      </c>
    </row>
    <row r="26" spans="1:2" ht="15">
      <c r="A26" s="20" t="s">
        <v>93</v>
      </c>
      <c r="B26" s="76" t="s">
        <v>94</v>
      </c>
    </row>
    <row r="27" spans="1:2" ht="15">
      <c r="A27" s="18"/>
      <c r="B27" s="77" t="s">
        <v>95</v>
      </c>
    </row>
    <row r="28" spans="1:2" ht="15">
      <c r="A28" s="21"/>
      <c r="B28" s="22" t="s">
        <v>96</v>
      </c>
    </row>
    <row r="29" spans="1:2" ht="15">
      <c r="A29" s="14" t="s">
        <v>97</v>
      </c>
      <c r="B29" s="75" t="s">
        <v>98</v>
      </c>
    </row>
    <row r="30" spans="1:2" ht="15">
      <c r="A30" s="20" t="s">
        <v>99</v>
      </c>
      <c r="B30" s="76" t="s">
        <v>100</v>
      </c>
    </row>
    <row r="31" spans="1:2" ht="15">
      <c r="A31" s="91"/>
      <c r="B31" s="77" t="s">
        <v>101</v>
      </c>
    </row>
    <row r="32" spans="1:2" ht="15">
      <c r="A32" s="21"/>
      <c r="B32" s="22" t="s">
        <v>102</v>
      </c>
    </row>
  </sheetData>
  <mergeCells count="3">
    <mergeCell ref="A2:B2"/>
    <mergeCell ref="A20:B20"/>
    <mergeCell ref="A24:B24"/>
  </mergeCells>
  <hyperlinks>
    <hyperlink ref="B6" r:id="rId1" xr:uid="{9DCF7A78-D3F8-4759-BC58-A580B2F0152E}"/>
    <hyperlink ref="B10" r:id="rId2" xr:uid="{25190767-701D-4D71-B43B-02280FC04DCA}"/>
    <hyperlink ref="B9" r:id="rId3" xr:uid="{0BBC0AB7-1D54-4B0F-B26E-FDF8BCF880D1}"/>
    <hyperlink ref="B8" r:id="rId4" xr:uid="{1A5ACD50-FCAB-4837-B4A9-7C4497F89690}"/>
    <hyperlink ref="B7" r:id="rId5" xr:uid="{CEA6AA67-3B79-4CF6-894A-B9AD84311ACA}"/>
    <hyperlink ref="B16" r:id="rId6" xr:uid="{18AD42DC-50D5-4091-98ED-1B7CBFA93761}"/>
    <hyperlink ref="B14" r:id="rId7" xr:uid="{7AD8C583-D4A7-4E10-996A-6AFE1D208C36}"/>
    <hyperlink ref="B18" r:id="rId8" xr:uid="{07F0D4B3-47BA-4EA5-8C3A-D043D47704FD}"/>
  </hyperlinks>
  <pageMargins left="0.39370078740157483" right="0.19685039370078741" top="0.59055118110236227" bottom="0" header="0.31496062992125984" footer="0.31496062992125984"/>
  <pageSetup paperSize="9" scale="75" orientation="portrait" r:id="rId9"/>
  <drawing r:id="rId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069AD1B1170CB744841F2812FBF31EDE" ma:contentTypeVersion="16" ma:contentTypeDescription="Yeni belge oluşturun." ma:contentTypeScope="" ma:versionID="ce83de3ac3b19d6fce7bced225775562">
  <xsd:schema xmlns:xsd="http://www.w3.org/2001/XMLSchema" xmlns:xs="http://www.w3.org/2001/XMLSchema" xmlns:p="http://schemas.microsoft.com/office/2006/metadata/properties" xmlns:ns2="86137fea-04c9-4ec3-9f07-a3f8e8bdda6d" xmlns:ns3="92ca4a80-3390-47e2-b911-47a947df16b7" targetNamespace="http://schemas.microsoft.com/office/2006/metadata/properties" ma:root="true" ma:fieldsID="773a05becc1e451a08931cd76a6600b2" ns2:_="" ns3:_="">
    <xsd:import namespace="86137fea-04c9-4ec3-9f07-a3f8e8bdda6d"/>
    <xsd:import namespace="92ca4a80-3390-47e2-b911-47a947df16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tari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37fea-04c9-4ec3-9f07-a3f8e8bdda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Resim Etiketleri" ma:readOnly="false" ma:fieldId="{5cf76f15-5ced-4ddc-b409-7134ff3c332f}" ma:taxonomyMulti="true" ma:sspId="2cb4adbf-a56f-4e22-8501-2c9267fac6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arih" ma:index="23" nillable="true" ma:displayName="tarih" ma:format="Dropdown" ma:internalName="tarih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ca4a80-3390-47e2-b911-47a947df16b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6bebcd5-985e-47ab-b75e-86b15ce4049d}" ma:internalName="TaxCatchAll" ma:showField="CatchAllData" ma:web="92ca4a80-3390-47e2-b911-47a947df16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137fea-04c9-4ec3-9f07-a3f8e8bdda6d">
      <Terms xmlns="http://schemas.microsoft.com/office/infopath/2007/PartnerControls"/>
    </lcf76f155ced4ddcb4097134ff3c332f>
    <TaxCatchAll xmlns="92ca4a80-3390-47e2-b911-47a947df16b7" xsi:nil="true"/>
    <tarih xmlns="86137fea-04c9-4ec3-9f07-a3f8e8bdda6d" xsi:nil="true"/>
  </documentManagement>
</p:properties>
</file>

<file path=customXml/itemProps1.xml><?xml version="1.0" encoding="utf-8"?>
<ds:datastoreItem xmlns:ds="http://schemas.openxmlformats.org/officeDocument/2006/customXml" ds:itemID="{F9F810A3-2C3B-44F6-BE59-6C5866D6457E}"/>
</file>

<file path=customXml/itemProps2.xml><?xml version="1.0" encoding="utf-8"?>
<ds:datastoreItem xmlns:ds="http://schemas.openxmlformats.org/officeDocument/2006/customXml" ds:itemID="{26283BB6-F682-404F-9BF8-A30F5D95CD84}"/>
</file>

<file path=customXml/itemProps3.xml><?xml version="1.0" encoding="utf-8"?>
<ds:datastoreItem xmlns:ds="http://schemas.openxmlformats.org/officeDocument/2006/customXml" ds:itemID="{1BB62604-2A9B-4D4D-ABB2-FC96069AD5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Serapsu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İKBAL TOKTAŞ</dc:creator>
  <cp:keywords/>
  <dc:description/>
  <cp:lastModifiedBy>Melis Körezlioğlu Karlı</cp:lastModifiedBy>
  <cp:revision/>
  <dcterms:created xsi:type="dcterms:W3CDTF">1999-11-26T09:25:49Z</dcterms:created>
  <dcterms:modified xsi:type="dcterms:W3CDTF">2025-09-22T14:52:21Z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CatchAll">
    <vt:lpwstr/>
  </property>
  <property fmtid="{D5CDD505-2E9C-101B-9397-08002B2CF9AE}" pid="3" name="lcf76f155ced4ddcb4097134ff3c332f">
    <vt:lpwstr/>
  </property>
  <property fmtid="{D5CDD505-2E9C-101B-9397-08002B2CF9AE}" pid="4" name="MediaServiceImageTags">
    <vt:lpwstr/>
  </property>
  <property fmtid="{D5CDD505-2E9C-101B-9397-08002B2CF9AE}" pid="5" name="ContentTypeId">
    <vt:lpwstr>0x010100069AD1B1170CB744841F2812FBF31EDE</vt:lpwstr>
  </property>
</Properties>
</file>
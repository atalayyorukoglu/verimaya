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KARLI\Downloads\"/>
    </mc:Choice>
  </mc:AlternateContent>
  <xr:revisionPtr revIDLastSave="67" documentId="11_B39C9808F693DDCD8428DBA3D56304DCF874E505" xr6:coauthVersionLast="47" xr6:coauthVersionMax="47" xr10:uidLastSave="{76FF92BC-1006-494C-9CBE-8E6E7CB6BEE6}"/>
  <bookViews>
    <workbookView xWindow="0" yWindow="0" windowWidth="23040" windowHeight="8652" tabRatio="811" xr2:uid="{00000000-000D-0000-FFFF-FFFF00000000}"/>
  </bookViews>
  <sheets>
    <sheet name="GRAND PARK LARA" sheetId="13" r:id="rId1"/>
    <sheet name="İLETİŞİM BİLGİLERİ" sheetId="14" r:id="rId2"/>
  </sheets>
  <definedNames>
    <definedName name="_xlnm.Print_Area" localSheetId="0">'GRAND PARK LARA'!$A$1:$I$62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3" l="1"/>
  <c r="F19" i="13"/>
  <c r="G11" i="13"/>
  <c r="G10" i="13"/>
  <c r="H14" i="13"/>
  <c r="H11" i="13"/>
  <c r="H10" i="13"/>
  <c r="D11" i="13"/>
  <c r="E11" i="13"/>
  <c r="F11" i="13"/>
  <c r="D10" i="13"/>
  <c r="E10" i="13"/>
  <c r="F10" i="13"/>
  <c r="C11" i="13"/>
  <c r="C10" i="13"/>
  <c r="E22" i="13" l="1"/>
  <c r="D23" i="13"/>
  <c r="E23" i="13"/>
  <c r="F23" i="13"/>
  <c r="G23" i="13"/>
  <c r="H23" i="13"/>
  <c r="D24" i="13"/>
  <c r="E24" i="13"/>
  <c r="F24" i="13"/>
  <c r="G24" i="13"/>
  <c r="H24" i="13"/>
  <c r="D25" i="13"/>
  <c r="E25" i="13"/>
  <c r="F25" i="13"/>
  <c r="G25" i="13"/>
  <c r="H25" i="13"/>
  <c r="C25" i="13"/>
  <c r="C24" i="13"/>
  <c r="C23" i="13"/>
  <c r="D28" i="13"/>
  <c r="E28" i="13"/>
  <c r="F28" i="13"/>
  <c r="G28" i="13"/>
  <c r="H28" i="13"/>
  <c r="D29" i="13"/>
  <c r="E29" i="13"/>
  <c r="F29" i="13"/>
  <c r="G29" i="13"/>
  <c r="H29" i="13"/>
  <c r="D30" i="13"/>
  <c r="E30" i="13"/>
  <c r="F30" i="13"/>
  <c r="G30" i="13"/>
  <c r="H30" i="13"/>
  <c r="D31" i="13"/>
  <c r="E31" i="13"/>
  <c r="F31" i="13"/>
  <c r="G31" i="13"/>
  <c r="H31" i="13"/>
  <c r="D32" i="13"/>
  <c r="E32" i="13"/>
  <c r="F32" i="13"/>
  <c r="G32" i="13"/>
  <c r="H32" i="13"/>
  <c r="D33" i="13"/>
  <c r="E33" i="13"/>
  <c r="F33" i="13"/>
  <c r="G33" i="13"/>
  <c r="H33" i="13"/>
  <c r="D34" i="13"/>
  <c r="E34" i="13"/>
  <c r="F34" i="13"/>
  <c r="G34" i="13"/>
  <c r="H34" i="13"/>
  <c r="D35" i="13"/>
  <c r="E35" i="13"/>
  <c r="F35" i="13"/>
  <c r="G35" i="13"/>
  <c r="H35" i="13"/>
  <c r="D36" i="13"/>
  <c r="E36" i="13"/>
  <c r="F36" i="13"/>
  <c r="G36" i="13"/>
  <c r="H36" i="13"/>
  <c r="D37" i="13"/>
  <c r="E37" i="13"/>
  <c r="F37" i="13"/>
  <c r="G37" i="13"/>
  <c r="H37" i="13"/>
  <c r="D38" i="13"/>
  <c r="E38" i="13"/>
  <c r="F38" i="13"/>
  <c r="G38" i="13"/>
  <c r="H38" i="13"/>
  <c r="D39" i="13"/>
  <c r="E39" i="13"/>
  <c r="F39" i="13"/>
  <c r="G39" i="13"/>
  <c r="H39" i="13"/>
  <c r="D40" i="13"/>
  <c r="E40" i="13"/>
  <c r="F40" i="13"/>
  <c r="G40" i="13"/>
  <c r="H40" i="13"/>
  <c r="D41" i="13"/>
  <c r="E41" i="13"/>
  <c r="F41" i="13"/>
  <c r="G41" i="13"/>
  <c r="H41" i="13"/>
  <c r="D42" i="13"/>
  <c r="E42" i="13"/>
  <c r="F42" i="13"/>
  <c r="G42" i="13"/>
  <c r="H42" i="13"/>
  <c r="C42" i="13"/>
  <c r="C40" i="13"/>
  <c r="C39" i="13"/>
  <c r="C37" i="13"/>
  <c r="C36" i="13"/>
  <c r="C35" i="13"/>
  <c r="C33" i="13"/>
  <c r="C32" i="13"/>
  <c r="C28" i="13"/>
  <c r="C31" i="13"/>
  <c r="C30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F16" i="13"/>
  <c r="F17" i="13"/>
  <c r="F18" i="13"/>
  <c r="D16" i="13"/>
  <c r="E16" i="13"/>
  <c r="D17" i="13"/>
  <c r="E17" i="13"/>
  <c r="D18" i="13"/>
  <c r="E18" i="13"/>
  <c r="D19" i="13"/>
  <c r="E19" i="13"/>
  <c r="D20" i="13"/>
  <c r="E20" i="13"/>
  <c r="D21" i="13"/>
  <c r="E21" i="13"/>
  <c r="D22" i="13"/>
  <c r="C21" i="13"/>
  <c r="C20" i="13"/>
  <c r="C17" i="13"/>
  <c r="C16" i="13"/>
  <c r="C22" i="13"/>
  <c r="C19" i="13"/>
  <c r="D26" i="13"/>
  <c r="E26" i="13"/>
  <c r="F26" i="13"/>
  <c r="G26" i="13"/>
  <c r="H26" i="13"/>
  <c r="C26" i="13"/>
  <c r="D14" i="13"/>
  <c r="E14" i="13"/>
  <c r="F14" i="13"/>
  <c r="G14" i="13"/>
  <c r="C14" i="13"/>
  <c r="C29" i="13"/>
  <c r="F20" i="13"/>
  <c r="F21" i="13"/>
  <c r="G13" i="13"/>
  <c r="G12" i="13"/>
  <c r="G9" i="13"/>
  <c r="C38" i="13"/>
  <c r="C41" i="13"/>
  <c r="C34" i="13"/>
  <c r="C18" i="13"/>
  <c r="D9" i="13"/>
  <c r="E9" i="13"/>
  <c r="F9" i="13"/>
  <c r="H9" i="13"/>
  <c r="D12" i="13"/>
  <c r="E12" i="13"/>
  <c r="F12" i="13"/>
  <c r="H12" i="13"/>
  <c r="D13" i="13"/>
  <c r="E13" i="13"/>
  <c r="F13" i="13"/>
  <c r="H13" i="13"/>
  <c r="C13" i="13"/>
  <c r="C12" i="13"/>
  <c r="C9" i="13"/>
</calcChain>
</file>

<file path=xl/sharedStrings.xml><?xml version="1.0" encoding="utf-8"?>
<sst xmlns="http://schemas.openxmlformats.org/spreadsheetml/2006/main" count="132" uniqueCount="113">
  <si>
    <t xml:space="preserve">                                     GRAND PARK LARA - 4+*</t>
  </si>
  <si>
    <t>2026 YAZ - SAĞLIK TURIZMI EURO FİYATLARI</t>
  </si>
  <si>
    <t>ULTRA ALL INCLUSIVE</t>
  </si>
  <si>
    <t>ÇARPAN</t>
  </si>
  <si>
    <t>1. Dönem</t>
  </si>
  <si>
    <t>2. Dönem</t>
  </si>
  <si>
    <t>3. Dönem</t>
  </si>
  <si>
    <t>4. Dönem</t>
  </si>
  <si>
    <t>5. Dönem</t>
  </si>
  <si>
    <t>6. Dönem</t>
  </si>
  <si>
    <t>01/04/2026- 20/04/2026</t>
  </si>
  <si>
    <t>21/04/2026 - 30/04/2026</t>
  </si>
  <si>
    <t>01/05/2026 -15/05/2026</t>
  </si>
  <si>
    <t>16/05/2026 - 31/05/2026</t>
  </si>
  <si>
    <t>01/06/2026 - 30/06/2026</t>
  </si>
  <si>
    <t>01/07/2026 - 31/08/2026</t>
  </si>
  <si>
    <t>21/10/2026 - 31/10/2026</t>
  </si>
  <si>
    <t>01/10/2025 - 20/10/2026</t>
  </si>
  <si>
    <t>01/09/2025 - 30/09/2025</t>
  </si>
  <si>
    <r>
      <rPr>
        <b/>
        <sz val="10"/>
        <color rgb="FFC00000"/>
        <rFont val="Calibri"/>
      </rPr>
      <t xml:space="preserve">STANDART ROOM / P.P. (R.O.H.) / kişi başı     (balkonsuz oda)            </t>
    </r>
    <r>
      <rPr>
        <b/>
        <sz val="10"/>
        <color rgb="FF993300"/>
        <rFont val="Calibri"/>
      </rPr>
      <t xml:space="preserve">    </t>
    </r>
  </si>
  <si>
    <t>Min. 1,  Max. 2+1 (inf. dahil)</t>
  </si>
  <si>
    <t>DBL</t>
  </si>
  <si>
    <t>SNG</t>
  </si>
  <si>
    <r>
      <t xml:space="preserve">1,6 / </t>
    </r>
    <r>
      <rPr>
        <b/>
        <sz val="9"/>
        <color indexed="30"/>
        <rFont val="Calibri"/>
        <family val="2"/>
        <charset val="162"/>
      </rPr>
      <t>1,7</t>
    </r>
  </si>
  <si>
    <t>1 ADL + 1 CHD (02-12,99)</t>
  </si>
  <si>
    <t>1 ADL + 2 CHD (02-12,99 + 02-12,99)</t>
  </si>
  <si>
    <t>2 ADL + 1 CHD (02-12,99)</t>
  </si>
  <si>
    <t xml:space="preserve">FAMILY DELUXE / P.P. (R.O.H.)/ kişi başı (balkonlu oda)                           </t>
  </si>
  <si>
    <t>Min. 1, Max. 3+1 / 4 (inf. dahil)</t>
  </si>
  <si>
    <t>1 ADULT</t>
  </si>
  <si>
    <t>Min. 2 öder</t>
  </si>
  <si>
    <t>2 Yatak Odası</t>
  </si>
  <si>
    <t>1 ADL + 3 CHD (02-12,99 + 02-12,99 + 02-12,99)</t>
  </si>
  <si>
    <r>
      <rPr>
        <b/>
        <sz val="9"/>
        <color indexed="30"/>
        <rFont val="Calibri"/>
        <family val="2"/>
        <charset val="162"/>
      </rPr>
      <t xml:space="preserve">2,4 </t>
    </r>
    <r>
      <rPr>
        <b/>
        <sz val="9"/>
        <rFont val="Calibri"/>
        <family val="2"/>
        <charset val="162"/>
      </rPr>
      <t>/ 2,5</t>
    </r>
  </si>
  <si>
    <t>2 ADULT</t>
  </si>
  <si>
    <t>2 ADL + 2 CHD (02-12,99 + 02-12,99)</t>
  </si>
  <si>
    <r>
      <rPr>
        <b/>
        <sz val="9"/>
        <color indexed="30"/>
        <rFont val="Calibri"/>
        <family val="2"/>
        <charset val="162"/>
      </rPr>
      <t>2,4</t>
    </r>
    <r>
      <rPr>
        <b/>
        <sz val="9"/>
        <color indexed="8"/>
        <rFont val="Calibri"/>
        <family val="2"/>
        <charset val="162"/>
      </rPr>
      <t xml:space="preserve"> / 2,5</t>
    </r>
  </si>
  <si>
    <t>3 ADULT</t>
  </si>
  <si>
    <t>3 ADL + 1 CHD (02-12,99)</t>
  </si>
  <si>
    <t>4 ADULT</t>
  </si>
  <si>
    <t xml:space="preserve">FAMILY ELITE / P.P. (R.O.H.) / kişi başı  (balkonlu oda)                        </t>
  </si>
  <si>
    <t>Min. 2, Max. 5+1 / 6 (inf. dahil)</t>
  </si>
  <si>
    <t>Min. 2  öder</t>
  </si>
  <si>
    <t xml:space="preserve">2 Yatak Odası + 1 Salon </t>
  </si>
  <si>
    <t>2 ADL + 3 CHD (02-12,99 + 02-12,99 + 02-12,99)</t>
  </si>
  <si>
    <t>2 ADL + 4 CHD (02-12,99 + 02-12,99 + 02-12,99 + 02-12,99)</t>
  </si>
  <si>
    <t>3 ADL + 2 CHD (02-12,99 + 02-12,99)</t>
  </si>
  <si>
    <t>3 ADL + 3 CHD (02-12,99 + 02-12,99 + 02-12,99)</t>
  </si>
  <si>
    <t>4 ADL + 1 CHD (02-12,99)</t>
  </si>
  <si>
    <t>4 ADL + 2 CHD (02-12,99 + 02-12,99)</t>
  </si>
  <si>
    <t>5 ADULT</t>
  </si>
  <si>
    <t>5 ADL + 1 CHD (02-12,99)</t>
  </si>
  <si>
    <t>6 ADULT</t>
  </si>
  <si>
    <t>Release Day</t>
  </si>
  <si>
    <t>Min. Stay</t>
  </si>
  <si>
    <t>Tabloda belirtilen fiyatlar, hiçbir şekilde son kullanıcı erişimine açık olan online satış platformlarına, Metasearch kanallarına, 3.parti satıcılara ve yatak bankalarına kullandırılamaz.</t>
  </si>
  <si>
    <t>ULTRA ALL INCLUSIVE - EURO // SOR-SAT Fiyat Teklifimiz ekte bilgilerinize sunulmuştur.</t>
  </si>
  <si>
    <t>Ekteki fiyat tablosunda belirtilen fiyatlarımıza KDV ve diğer tüm vergiler dahildir.</t>
  </si>
  <si>
    <t>Faturalamada giriş günü T.C.M.B Döviz Alış kuru esastır. "TL" ödeme yapılması durumunda muhasebeden anlık kur onayı alınmalıdır.</t>
  </si>
  <si>
    <t>Ödeme, belirtilen "EURO"döviz cinsinden ÖDENİR.</t>
  </si>
  <si>
    <t>Rezervasyon öncesi müsaitlik sorulmasını rica ederiz.</t>
  </si>
  <si>
    <t>İş bu form ile topladığımız verileriniz Şirketimiz web sitesinde yer alan Aydınlatma Beyanı çerçevesinde toplanıp işlenmektedir.</t>
  </si>
  <si>
    <t>Detay bilgi ve haklarınıza aşağıdaki linkten ulaşabilirsiniz.</t>
  </si>
  <si>
    <t>https://www.corendonhotels.com/grand-park-lara/tr/genel-aydinlatma-beyani/</t>
  </si>
  <si>
    <t>Hotellerimizde Misafirlerinizi ağırlamaktan mutluluk duyacağımızı belirtir, iyi iş birliğimizin artarak devamını temenni ederiz.</t>
  </si>
  <si>
    <t>CORENDON HOTELS İLETİŞİM BİLGİLERİ</t>
  </si>
  <si>
    <t> </t>
  </si>
  <si>
    <t>Merkez Ofis</t>
  </si>
  <si>
    <t>Güzeloba Mah. Çağlayangil Cad. No:29/B 07230  Muratpaşa / ANTALYA</t>
  </si>
  <si>
    <t>Telefon</t>
  </si>
  <si>
    <t>0242 407 00 00</t>
  </si>
  <si>
    <t>Web Sayfası</t>
  </si>
  <si>
    <t>www.corendonhotels.com</t>
  </si>
  <si>
    <t>Info</t>
  </si>
  <si>
    <t>info@corendonhotels.com.tr</t>
  </si>
  <si>
    <t>Merkez Satış &amp; Pazarlama</t>
  </si>
  <si>
    <t>sales@corendonhotels.com.tr</t>
  </si>
  <si>
    <t>Merkez Rezervasyon</t>
  </si>
  <si>
    <t>reservation@corendonhotels.com.tr</t>
  </si>
  <si>
    <t>Merkez Muhasebe</t>
  </si>
  <si>
    <t>chq.acc@corendonhotels.com.tr</t>
  </si>
  <si>
    <t>Şirket Ünvanı</t>
  </si>
  <si>
    <t xml:space="preserve">AZ OTEL İŞLETMELERİ ANONİM ŞİRKETİ </t>
  </si>
  <si>
    <t>Vergi Dairesi</t>
  </si>
  <si>
    <t xml:space="preserve">Antalya Kurumlar Vergi Dairesi: 127 125 2877 </t>
  </si>
  <si>
    <t>Satış Direktörü</t>
  </si>
  <si>
    <t>Alpaslan GÜNEY</t>
  </si>
  <si>
    <t>alpaslanguney@corendonhotels.com.tr</t>
  </si>
  <si>
    <t>Satış Grup Müdürü</t>
  </si>
  <si>
    <t>Meral KILIÇ KARABÖCEK</t>
  </si>
  <si>
    <t>meralkarabocek@corendonhotels.com.tr</t>
  </si>
  <si>
    <t>Rezervasyon Müdürü</t>
  </si>
  <si>
    <t>Ezgi KORKMAZ</t>
  </si>
  <si>
    <t>ezgikorkmaz@corendonhotels.com.tr</t>
  </si>
  <si>
    <t>GRAND PARK LARA</t>
  </si>
  <si>
    <t>Adres</t>
  </si>
  <si>
    <t>Kemerağzı Mah. Yaşar Sobutay Blv. No: 37-39/A 07110 Kundu - Aksu / ANTALYA</t>
  </si>
  <si>
    <t>0242 352 44 44</t>
  </si>
  <si>
    <t>Fax</t>
  </si>
  <si>
    <t>0242 352 40 50</t>
  </si>
  <si>
    <t>Banka Hesap Bilgileri</t>
  </si>
  <si>
    <t>HALK BANKASI</t>
  </si>
  <si>
    <r>
      <t xml:space="preserve">TL </t>
    </r>
    <r>
      <rPr>
        <sz val="11"/>
        <rFont val="Calibri"/>
        <family val="2"/>
        <charset val="162"/>
      </rPr>
      <t xml:space="preserve">        TR89 0001 2009 6240 0010 2607 01</t>
    </r>
  </si>
  <si>
    <t>624 - Antalya Ticari Şubesi</t>
  </si>
  <si>
    <t>EURO   TR63 0001 2009 6240 0058 0007 86</t>
  </si>
  <si>
    <r>
      <t>USD</t>
    </r>
    <r>
      <rPr>
        <sz val="11"/>
        <rFont val="Calibri"/>
        <family val="2"/>
        <charset val="162"/>
      </rPr>
      <t xml:space="preserve">      TR27 0001 2009 6240 0053 0010 84</t>
    </r>
  </si>
  <si>
    <t>Swift Code : TRHBTR2A</t>
  </si>
  <si>
    <t>GARANTİ BANKASI</t>
  </si>
  <si>
    <r>
      <t xml:space="preserve">TL </t>
    </r>
    <r>
      <rPr>
        <sz val="11"/>
        <rFont val="Calibri"/>
        <family val="2"/>
        <charset val="162"/>
      </rPr>
      <t xml:space="preserve">        TR94 0006 2000 0140 0006 2952 29</t>
    </r>
  </si>
  <si>
    <t>0014 - Antalya Ticari Şubesi</t>
  </si>
  <si>
    <t>EURO   TR88 0006 2000 0140 0009 0894 22</t>
  </si>
  <si>
    <r>
      <t>USD</t>
    </r>
    <r>
      <rPr>
        <sz val="11"/>
        <rFont val="Calibri"/>
        <family val="2"/>
        <charset val="162"/>
      </rPr>
      <t xml:space="preserve">      TR18 0006 2000 0140 0009 0894 21</t>
    </r>
  </si>
  <si>
    <t>Swift Code : TGBATRIS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</si>
</sst>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407]"/>
    <numFmt numFmtId="165" formatCode="#,##0.00\ [$€-407]"/>
  </numFmts>
  <fonts count="40">
    <font>
      <sz val="10"/>
      <name val="Arial Tur"/>
      <charset val="162"/>
    </font>
    <font>
      <sz val="8"/>
      <name val="Arial Tur"/>
      <charset val="162"/>
    </font>
    <font>
      <sz val="11"/>
      <color indexed="8"/>
      <name val="Calibri"/>
      <family val="2"/>
      <charset val="162"/>
    </font>
    <font>
      <sz val="10"/>
      <name val="Helv"/>
      <charset val="204"/>
    </font>
    <font>
      <b/>
      <sz val="9"/>
      <name val="Calibri"/>
      <family val="2"/>
      <charset val="162"/>
    </font>
    <font>
      <b/>
      <sz val="9"/>
      <color indexed="30"/>
      <name val="Calibri"/>
      <family val="2"/>
      <charset val="162"/>
    </font>
    <font>
      <b/>
      <sz val="9"/>
      <color indexed="8"/>
      <name val="Calibri"/>
      <family val="2"/>
      <charset val="162"/>
    </font>
    <font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9"/>
      <color indexed="8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u/>
      <sz val="11"/>
      <color rgb="FFC00000"/>
      <name val="Calibri"/>
      <family val="2"/>
      <charset val="162"/>
      <scheme val="minor"/>
    </font>
    <font>
      <sz val="10"/>
      <color theme="0"/>
      <name val="Arial Tur"/>
      <charset val="162"/>
    </font>
    <font>
      <sz val="9"/>
      <color theme="0"/>
      <name val="Calibri"/>
      <family val="2"/>
      <charset val="162"/>
      <scheme val="minor"/>
    </font>
    <font>
      <b/>
      <sz val="9"/>
      <color theme="4" tint="-0.249977111117893"/>
      <name val="Calibri"/>
      <family val="2"/>
      <charset val="162"/>
      <scheme val="minor"/>
    </font>
    <font>
      <u/>
      <sz val="10"/>
      <color theme="10"/>
      <name val="Arial Tur"/>
      <charset val="162"/>
    </font>
    <font>
      <sz val="11"/>
      <name val="Calibri"/>
      <family val="2"/>
      <charset val="162"/>
      <scheme val="minor"/>
    </font>
    <font>
      <b/>
      <sz val="9"/>
      <color rgb="FF0070C0"/>
      <name val="Calibri"/>
      <scheme val="minor"/>
    </font>
    <font>
      <sz val="10"/>
      <name val="Calibri"/>
      <scheme val="minor"/>
    </font>
    <font>
      <sz val="11"/>
      <name val="Calibri"/>
      <scheme val="minor"/>
    </font>
    <font>
      <b/>
      <sz val="9"/>
      <name val="Calibri"/>
      <scheme val="minor"/>
    </font>
    <font>
      <b/>
      <sz val="9"/>
      <color rgb="FFC00000"/>
      <name val="Calibri"/>
      <scheme val="minor"/>
    </font>
    <font>
      <u/>
      <sz val="9"/>
      <color theme="10"/>
      <name val="Calibri"/>
      <scheme val="minor"/>
    </font>
    <font>
      <b/>
      <sz val="14"/>
      <color rgb="FFFF0000"/>
      <name val="Calibri"/>
      <family val="2"/>
      <charset val="162"/>
    </font>
    <font>
      <sz val="10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1"/>
      <color rgb="FFC00000"/>
      <name val="Calibri"/>
      <family val="2"/>
      <charset val="162"/>
    </font>
    <font>
      <b/>
      <sz val="14"/>
      <name val="Calibri"/>
      <family val="2"/>
      <charset val="162"/>
    </font>
    <font>
      <b/>
      <sz val="10"/>
      <color rgb="FF993300"/>
      <name val="Calibri"/>
    </font>
    <font>
      <b/>
      <sz val="10"/>
      <color rgb="FFC00000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55">
    <xf numFmtId="0" fontId="0" fillId="0" borderId="0" xfId="0"/>
    <xf numFmtId="0" fontId="8" fillId="2" borderId="0" xfId="0" applyFont="1" applyFill="1" applyAlignment="1">
      <alignment horizontal="right"/>
    </xf>
    <xf numFmtId="0" fontId="7" fillId="2" borderId="0" xfId="0" applyFont="1" applyFill="1"/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2" borderId="0" xfId="0" applyFont="1" applyFill="1"/>
    <xf numFmtId="0" fontId="12" fillId="2" borderId="2" xfId="1" applyFont="1" applyFill="1" applyBorder="1"/>
    <xf numFmtId="0" fontId="9" fillId="2" borderId="15" xfId="1" applyFont="1" applyFill="1" applyBorder="1"/>
    <xf numFmtId="0" fontId="9" fillId="2" borderId="3" xfId="0" applyFont="1" applyFill="1" applyBorder="1"/>
    <xf numFmtId="0" fontId="9" fillId="2" borderId="16" xfId="0" applyFont="1" applyFill="1" applyBorder="1"/>
    <xf numFmtId="0" fontId="9" fillId="2" borderId="9" xfId="0" applyFont="1" applyFill="1" applyBorder="1"/>
    <xf numFmtId="0" fontId="9" fillId="2" borderId="6" xfId="0" applyFont="1" applyFill="1" applyBorder="1"/>
    <xf numFmtId="0" fontId="9" fillId="2" borderId="17" xfId="0" applyFont="1" applyFill="1" applyBorder="1"/>
    <xf numFmtId="0" fontId="9" fillId="2" borderId="18" xfId="0" applyFont="1" applyFill="1" applyBorder="1"/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/>
    <xf numFmtId="0" fontId="9" fillId="3" borderId="18" xfId="0" applyFont="1" applyFill="1" applyBorder="1"/>
    <xf numFmtId="0" fontId="9" fillId="3" borderId="20" xfId="0" applyFont="1" applyFill="1" applyBorder="1"/>
    <xf numFmtId="0" fontId="9" fillId="3" borderId="19" xfId="0" applyFont="1" applyFill="1" applyBorder="1"/>
    <xf numFmtId="0" fontId="9" fillId="2" borderId="17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11" xfId="0" applyFont="1" applyFill="1" applyBorder="1"/>
    <xf numFmtId="0" fontId="13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4" fillId="3" borderId="0" xfId="1" applyFont="1" applyFill="1" applyAlignment="1">
      <alignment horizontal="left" vertical="center"/>
    </xf>
    <xf numFmtId="0" fontId="9" fillId="3" borderId="2" xfId="0" applyFont="1" applyFill="1" applyBorder="1"/>
    <xf numFmtId="0" fontId="9" fillId="3" borderId="11" xfId="0" applyFont="1" applyFill="1" applyBorder="1"/>
    <xf numFmtId="0" fontId="9" fillId="3" borderId="17" xfId="0" applyFont="1" applyFill="1" applyBorder="1" applyAlignment="1">
      <alignment horizontal="left"/>
    </xf>
    <xf numFmtId="0" fontId="9" fillId="2" borderId="0" xfId="0" applyFont="1" applyFill="1"/>
    <xf numFmtId="0" fontId="9" fillId="3" borderId="9" xfId="0" applyFont="1" applyFill="1" applyBorder="1"/>
    <xf numFmtId="0" fontId="9" fillId="2" borderId="0" xfId="0" applyFont="1" applyFill="1" applyAlignment="1">
      <alignment horizontal="left"/>
    </xf>
    <xf numFmtId="0" fontId="9" fillId="3" borderId="0" xfId="0" applyFont="1" applyFill="1"/>
    <xf numFmtId="0" fontId="15" fillId="3" borderId="0" xfId="0" applyFont="1" applyFill="1"/>
    <xf numFmtId="0" fontId="9" fillId="3" borderId="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6" fillId="3" borderId="17" xfId="1" applyFont="1" applyFill="1" applyBorder="1" applyAlignment="1">
      <alignment horizontal="center" vertical="center"/>
    </xf>
    <xf numFmtId="0" fontId="16" fillId="3" borderId="18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165" fontId="12" fillId="2" borderId="10" xfId="1" applyNumberFormat="1" applyFont="1" applyFill="1" applyBorder="1" applyAlignment="1">
      <alignment horizontal="center"/>
    </xf>
    <xf numFmtId="165" fontId="16" fillId="3" borderId="23" xfId="1" applyNumberFormat="1" applyFont="1" applyFill="1" applyBorder="1" applyAlignment="1">
      <alignment horizontal="center"/>
    </xf>
    <xf numFmtId="165" fontId="16" fillId="3" borderId="8" xfId="1" applyNumberFormat="1" applyFont="1" applyFill="1" applyBorder="1" applyAlignment="1">
      <alignment horizontal="center"/>
    </xf>
    <xf numFmtId="165" fontId="16" fillId="3" borderId="24" xfId="1" applyNumberFormat="1" applyFont="1" applyFill="1" applyBorder="1" applyAlignment="1">
      <alignment horizontal="center"/>
    </xf>
    <xf numFmtId="165" fontId="9" fillId="2" borderId="12" xfId="1" applyNumberFormat="1" applyFont="1" applyFill="1" applyBorder="1" applyAlignment="1">
      <alignment horizontal="center"/>
    </xf>
    <xf numFmtId="165" fontId="9" fillId="2" borderId="6" xfId="0" applyNumberFormat="1" applyFont="1" applyFill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65" fontId="9" fillId="2" borderId="4" xfId="0" applyNumberFormat="1" applyFont="1" applyFill="1" applyBorder="1" applyAlignment="1">
      <alignment horizontal="center"/>
    </xf>
    <xf numFmtId="165" fontId="9" fillId="2" borderId="24" xfId="0" applyNumberFormat="1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165" fontId="16" fillId="3" borderId="14" xfId="0" applyNumberFormat="1" applyFont="1" applyFill="1" applyBorder="1" applyAlignment="1">
      <alignment horizontal="center"/>
    </xf>
    <xf numFmtId="165" fontId="16" fillId="3" borderId="7" xfId="0" applyNumberFormat="1" applyFont="1" applyFill="1" applyBorder="1" applyAlignment="1">
      <alignment horizontal="center"/>
    </xf>
    <xf numFmtId="165" fontId="16" fillId="3" borderId="25" xfId="0" applyNumberFormat="1" applyFont="1" applyFill="1" applyBorder="1" applyAlignment="1">
      <alignment horizontal="center"/>
    </xf>
    <xf numFmtId="165" fontId="9" fillId="3" borderId="7" xfId="0" applyNumberFormat="1" applyFont="1" applyFill="1" applyBorder="1" applyAlignment="1">
      <alignment horizontal="center"/>
    </xf>
    <xf numFmtId="165" fontId="9" fillId="3" borderId="8" xfId="0" applyNumberFormat="1" applyFont="1" applyFill="1" applyBorder="1" applyAlignment="1">
      <alignment horizontal="center"/>
    </xf>
    <xf numFmtId="165" fontId="9" fillId="3" borderId="23" xfId="0" applyNumberFormat="1" applyFont="1" applyFill="1" applyBorder="1" applyAlignment="1">
      <alignment horizontal="center"/>
    </xf>
    <xf numFmtId="165" fontId="9" fillId="3" borderId="12" xfId="0" applyNumberFormat="1" applyFont="1" applyFill="1" applyBorder="1" applyAlignment="1">
      <alignment horizontal="center"/>
    </xf>
    <xf numFmtId="165" fontId="9" fillId="3" borderId="14" xfId="0" applyNumberFormat="1" applyFont="1" applyFill="1" applyBorder="1" applyAlignment="1">
      <alignment horizontal="center"/>
    </xf>
    <xf numFmtId="165" fontId="9" fillId="2" borderId="7" xfId="0" applyNumberFormat="1" applyFont="1" applyFill="1" applyBorder="1" applyAlignment="1">
      <alignment horizontal="center"/>
    </xf>
    <xf numFmtId="165" fontId="9" fillId="2" borderId="14" xfId="0" applyNumberFormat="1" applyFont="1" applyFill="1" applyBorder="1" applyAlignment="1">
      <alignment horizontal="center"/>
    </xf>
    <xf numFmtId="165" fontId="9" fillId="2" borderId="12" xfId="0" applyNumberFormat="1" applyFont="1" applyFill="1" applyBorder="1" applyAlignment="1">
      <alignment horizontal="center"/>
    </xf>
    <xf numFmtId="164" fontId="17" fillId="2" borderId="0" xfId="2" applyNumberFormat="1" applyFont="1" applyFill="1" applyAlignment="1">
      <alignment horizontal="center"/>
    </xf>
    <xf numFmtId="0" fontId="11" fillId="4" borderId="25" xfId="1" applyFont="1" applyFill="1" applyBorder="1" applyAlignment="1">
      <alignment vertical="center"/>
    </xf>
    <xf numFmtId="164" fontId="11" fillId="4" borderId="5" xfId="2" applyNumberFormat="1" applyFont="1" applyFill="1" applyBorder="1" applyAlignment="1">
      <alignment horizontal="center" vertical="center"/>
    </xf>
    <xf numFmtId="164" fontId="11" fillId="4" borderId="13" xfId="1" applyNumberFormat="1" applyFont="1" applyFill="1" applyBorder="1" applyAlignment="1">
      <alignment horizontal="center" vertical="center"/>
    </xf>
    <xf numFmtId="0" fontId="16" fillId="5" borderId="6" xfId="1" applyFont="1" applyFill="1" applyBorder="1" applyAlignment="1">
      <alignment horizontal="center" vertical="center"/>
    </xf>
    <xf numFmtId="0" fontId="16" fillId="5" borderId="4" xfId="1" applyFont="1" applyFill="1" applyBorder="1" applyAlignment="1">
      <alignment horizontal="center" vertical="center"/>
    </xf>
    <xf numFmtId="0" fontId="16" fillId="5" borderId="5" xfId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/>
    </xf>
    <xf numFmtId="0" fontId="17" fillId="2" borderId="0" xfId="0" applyFont="1" applyFill="1"/>
    <xf numFmtId="0" fontId="21" fillId="0" borderId="0" xfId="0" applyFont="1"/>
    <xf numFmtId="0" fontId="22" fillId="2" borderId="0" xfId="0" applyFont="1" applyFill="1"/>
    <xf numFmtId="0" fontId="9" fillId="6" borderId="2" xfId="0" applyFont="1" applyFill="1" applyBorder="1" applyAlignment="1">
      <alignment horizontal="center"/>
    </xf>
    <xf numFmtId="165" fontId="23" fillId="6" borderId="23" xfId="1" applyNumberFormat="1" applyFont="1" applyFill="1" applyBorder="1" applyAlignment="1">
      <alignment horizontal="center"/>
    </xf>
    <xf numFmtId="165" fontId="23" fillId="6" borderId="8" xfId="1" applyNumberFormat="1" applyFont="1" applyFill="1" applyBorder="1" applyAlignment="1">
      <alignment horizontal="center"/>
    </xf>
    <xf numFmtId="165" fontId="23" fillId="6" borderId="4" xfId="0" applyNumberFormat="1" applyFont="1" applyFill="1" applyBorder="1" applyAlignment="1">
      <alignment horizontal="center"/>
    </xf>
    <xf numFmtId="165" fontId="23" fillId="6" borderId="14" xfId="0" applyNumberFormat="1" applyFont="1" applyFill="1" applyBorder="1" applyAlignment="1">
      <alignment horizontal="center"/>
    </xf>
    <xf numFmtId="0" fontId="25" fillId="0" borderId="0" xfId="0" applyFont="1"/>
    <xf numFmtId="0" fontId="27" fillId="0" borderId="0" xfId="0" applyFont="1"/>
    <xf numFmtId="0" fontId="28" fillId="0" borderId="0" xfId="0" applyFont="1"/>
    <xf numFmtId="0" fontId="30" fillId="7" borderId="0" xfId="0" applyFont="1" applyFill="1"/>
    <xf numFmtId="0" fontId="33" fillId="7" borderId="1" xfId="0" applyFont="1" applyFill="1" applyBorder="1"/>
    <xf numFmtId="0" fontId="0" fillId="7" borderId="0" xfId="0" applyFill="1"/>
    <xf numFmtId="0" fontId="33" fillId="7" borderId="27" xfId="0" applyFont="1" applyFill="1" applyBorder="1"/>
    <xf numFmtId="0" fontId="34" fillId="7" borderId="28" xfId="0" applyFont="1" applyFill="1" applyBorder="1"/>
    <xf numFmtId="0" fontId="0" fillId="7" borderId="10" xfId="0" applyFill="1" applyBorder="1"/>
    <xf numFmtId="0" fontId="35" fillId="7" borderId="10" xfId="0" applyFont="1" applyFill="1" applyBorder="1"/>
    <xf numFmtId="0" fontId="34" fillId="7" borderId="18" xfId="0" applyFont="1" applyFill="1" applyBorder="1"/>
    <xf numFmtId="0" fontId="0" fillId="7" borderId="8" xfId="0" applyFill="1" applyBorder="1"/>
    <xf numFmtId="0" fontId="35" fillId="7" borderId="8" xfId="0" applyFont="1" applyFill="1" applyBorder="1"/>
    <xf numFmtId="0" fontId="34" fillId="7" borderId="13" xfId="0" applyFont="1" applyFill="1" applyBorder="1"/>
    <xf numFmtId="0" fontId="0" fillId="7" borderId="25" xfId="0" applyFill="1" applyBorder="1"/>
    <xf numFmtId="0" fontId="24" fillId="7" borderId="25" xfId="4" applyFill="1" applyBorder="1" applyAlignment="1"/>
    <xf numFmtId="0" fontId="34" fillId="7" borderId="29" xfId="0" applyFont="1" applyFill="1" applyBorder="1"/>
    <xf numFmtId="0" fontId="0" fillId="7" borderId="24" xfId="0" applyFill="1" applyBorder="1"/>
    <xf numFmtId="0" fontId="24" fillId="7" borderId="24" xfId="4" applyFill="1" applyBorder="1" applyAlignment="1"/>
    <xf numFmtId="0" fontId="34" fillId="7" borderId="20" xfId="0" applyFont="1" applyFill="1" applyBorder="1"/>
    <xf numFmtId="0" fontId="0" fillId="7" borderId="12" xfId="0" applyFill="1" applyBorder="1"/>
    <xf numFmtId="0" fontId="24" fillId="7" borderId="12" xfId="4" applyFill="1" applyBorder="1" applyAlignment="1"/>
    <xf numFmtId="0" fontId="35" fillId="7" borderId="24" xfId="0" applyFont="1" applyFill="1" applyBorder="1"/>
    <xf numFmtId="0" fontId="35" fillId="7" borderId="12" xfId="0" applyFont="1" applyFill="1" applyBorder="1"/>
    <xf numFmtId="0" fontId="34" fillId="7" borderId="1" xfId="0" applyFont="1" applyFill="1" applyBorder="1"/>
    <xf numFmtId="0" fontId="0" fillId="7" borderId="27" xfId="0" applyFill="1" applyBorder="1"/>
    <xf numFmtId="0" fontId="35" fillId="7" borderId="27" xfId="0" applyFont="1" applyFill="1" applyBorder="1"/>
    <xf numFmtId="0" fontId="34" fillId="7" borderId="27" xfId="0" applyFont="1" applyFill="1" applyBorder="1"/>
    <xf numFmtId="0" fontId="36" fillId="7" borderId="8" xfId="0" applyFont="1" applyFill="1" applyBorder="1"/>
    <xf numFmtId="0" fontId="34" fillId="7" borderId="24" xfId="0" applyFont="1" applyFill="1" applyBorder="1"/>
    <xf numFmtId="0" fontId="34" fillId="7" borderId="12" xfId="0" applyFont="1" applyFill="1" applyBorder="1"/>
    <xf numFmtId="0" fontId="0" fillId="0" borderId="1" xfId="0" applyBorder="1"/>
    <xf numFmtId="0" fontId="0" fillId="0" borderId="27" xfId="0" applyBorder="1"/>
    <xf numFmtId="0" fontId="31" fillId="7" borderId="0" xfId="3" applyFont="1" applyFill="1" applyAlignment="1"/>
    <xf numFmtId="0" fontId="24" fillId="7" borderId="0" xfId="4" applyFill="1" applyAlignment="1"/>
    <xf numFmtId="0" fontId="39" fillId="4" borderId="13" xfId="1" applyFont="1" applyFill="1" applyBorder="1"/>
    <xf numFmtId="14" fontId="10" fillId="2" borderId="0" xfId="0" applyNumberFormat="1" applyFont="1" applyFill="1"/>
    <xf numFmtId="0" fontId="9" fillId="3" borderId="13" xfId="0" applyFont="1" applyFill="1" applyBorder="1" applyAlignment="1">
      <alignment horizontal="left"/>
    </xf>
    <xf numFmtId="0" fontId="9" fillId="3" borderId="25" xfId="0" applyFont="1" applyFill="1" applyBorder="1" applyAlignment="1">
      <alignment horizontal="left"/>
    </xf>
    <xf numFmtId="0" fontId="11" fillId="4" borderId="13" xfId="1" applyFont="1" applyFill="1" applyBorder="1" applyAlignment="1">
      <alignment horizontal="left" vertical="center"/>
    </xf>
    <xf numFmtId="0" fontId="11" fillId="4" borderId="25" xfId="1" applyFont="1" applyFill="1" applyBorder="1" applyAlignment="1">
      <alignment horizontal="left" vertical="center"/>
    </xf>
    <xf numFmtId="0" fontId="26" fillId="3" borderId="20" xfId="0" quotePrefix="1" applyFont="1" applyFill="1" applyBorder="1" applyAlignment="1">
      <alignment horizontal="left"/>
    </xf>
    <xf numFmtId="0" fontId="26" fillId="3" borderId="22" xfId="0" quotePrefix="1" applyFont="1" applyFill="1" applyBorder="1" applyAlignment="1">
      <alignment horizontal="left"/>
    </xf>
    <xf numFmtId="0" fontId="26" fillId="3" borderId="12" xfId="0" quotePrefix="1" applyFont="1" applyFill="1" applyBorder="1" applyAlignment="1">
      <alignment horizontal="left"/>
    </xf>
    <xf numFmtId="0" fontId="29" fillId="7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20" fillId="3" borderId="2" xfId="1" applyFont="1" applyFill="1" applyBorder="1" applyAlignment="1">
      <alignment horizontal="left" vertical="center"/>
    </xf>
    <xf numFmtId="0" fontId="14" fillId="3" borderId="11" xfId="1" applyFont="1" applyFill="1" applyBorder="1" applyAlignment="1">
      <alignment horizontal="left" vertical="center"/>
    </xf>
    <xf numFmtId="0" fontId="14" fillId="3" borderId="9" xfId="1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left"/>
    </xf>
    <xf numFmtId="0" fontId="29" fillId="7" borderId="0" xfId="0" applyFont="1" applyFill="1" applyAlignment="1">
      <alignment horizontal="left" vertical="center"/>
    </xf>
    <xf numFmtId="0" fontId="34" fillId="7" borderId="13" xfId="0" applyFont="1" applyFill="1" applyBorder="1" applyAlignment="1">
      <alignment horizontal="center"/>
    </xf>
    <xf numFmtId="0" fontId="34" fillId="7" borderId="30" xfId="0" applyFont="1" applyFill="1" applyBorder="1" applyAlignment="1">
      <alignment horizontal="center"/>
    </xf>
    <xf numFmtId="0" fontId="34" fillId="7" borderId="26" xfId="0" applyFont="1" applyFill="1" applyBorder="1" applyAlignment="1">
      <alignment horizontal="center"/>
    </xf>
    <xf numFmtId="0" fontId="37" fillId="7" borderId="31" xfId="0" applyFont="1" applyFill="1" applyBorder="1" applyAlignment="1">
      <alignment horizontal="center"/>
    </xf>
    <xf numFmtId="0" fontId="37" fillId="7" borderId="32" xfId="0" applyFont="1" applyFill="1" applyBorder="1" applyAlignment="1">
      <alignment horizontal="center"/>
    </xf>
    <xf numFmtId="0" fontId="37" fillId="7" borderId="33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</cellXfs>
  <cellStyles count="5">
    <cellStyle name="Hyperlink" xfId="4" xr:uid="{00000000-000B-0000-0000-000008000000}"/>
    <cellStyle name="Köprü" xfId="3" builtinId="8"/>
    <cellStyle name="Normal" xfId="0" builtinId="0"/>
    <cellStyle name="Normal_Sayfa1" xfId="1" xr:uid="{00000000-0005-0000-0000-000002000000}"/>
    <cellStyle name="Normal_SERA EURO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0</xdr:row>
      <xdr:rowOff>0</xdr:rowOff>
    </xdr:from>
    <xdr:to>
      <xdr:col>8</xdr:col>
      <xdr:colOff>47625</xdr:colOff>
      <xdr:row>1</xdr:row>
      <xdr:rowOff>76200</xdr:rowOff>
    </xdr:to>
    <xdr:pic>
      <xdr:nvPicPr>
        <xdr:cNvPr id="3651" name="Resim 2">
          <a:extLst>
            <a:ext uri="{FF2B5EF4-FFF2-40B4-BE49-F238E27FC236}">
              <a16:creationId xmlns:a16="http://schemas.microsoft.com/office/drawing/2014/main" id="{C879616F-618D-E438-6418-AC9EF4401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0"/>
          <a:ext cx="19526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0</xdr:rowOff>
    </xdr:from>
    <xdr:to>
      <xdr:col>0</xdr:col>
      <xdr:colOff>1800225</xdr:colOff>
      <xdr:row>2</xdr:row>
      <xdr:rowOff>9525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2B38E77-F8B2-B322-91D4-67F95754EEF5}"/>
            </a:ext>
            <a:ext uri="{147F2762-F138-4A5C-976F-8EAC2B608ADB}">
              <a16:predDERef xmlns:a16="http://schemas.microsoft.com/office/drawing/2014/main" pred="{C879616F-618D-E438-6418-AC9EF4401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0"/>
          <a:ext cx="16002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rendonhotels.com/grand-park-lara/tr/genel-aydinlatma-beyani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zgikorkmaz@corendonhotels.com.tr" TargetMode="External"/><Relationship Id="rId3" Type="http://schemas.openxmlformats.org/officeDocument/2006/relationships/hyperlink" Target="mailto:sales@corendonhotels.com.tr" TargetMode="External"/><Relationship Id="rId7" Type="http://schemas.openxmlformats.org/officeDocument/2006/relationships/hyperlink" Target="mailto:meralkarabocek@corendonhotels.com.tr" TargetMode="External"/><Relationship Id="rId2" Type="http://schemas.openxmlformats.org/officeDocument/2006/relationships/hyperlink" Target="mailto:info@corendonhotels.com.tr" TargetMode="External"/><Relationship Id="rId1" Type="http://schemas.openxmlformats.org/officeDocument/2006/relationships/hyperlink" Target="http://www.corendonhotels.com/" TargetMode="External"/><Relationship Id="rId6" Type="http://schemas.openxmlformats.org/officeDocument/2006/relationships/hyperlink" Target="mailto:alpaslanguney@corendonhotels.com.tr" TargetMode="External"/><Relationship Id="rId5" Type="http://schemas.openxmlformats.org/officeDocument/2006/relationships/hyperlink" Target="mailto:chq.acc@corendonhotels.com.tr" TargetMode="External"/><Relationship Id="rId4" Type="http://schemas.openxmlformats.org/officeDocument/2006/relationships/hyperlink" Target="mailto:reservation@corendonhotels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selection activeCell="A53" sqref="A53:D53"/>
    </sheetView>
  </sheetViews>
  <sheetFormatPr defaultRowHeight="13.15"/>
  <cols>
    <col min="1" max="1" width="44.140625" customWidth="1"/>
    <col min="2" max="2" width="6.7109375" customWidth="1"/>
    <col min="3" max="8" width="22.7109375" customWidth="1"/>
    <col min="9" max="9" width="26" customWidth="1"/>
  </cols>
  <sheetData>
    <row r="1" spans="1:9" ht="42.6" customHeight="1">
      <c r="A1" s="135" t="s">
        <v>0</v>
      </c>
      <c r="B1" s="135"/>
      <c r="C1" s="135"/>
      <c r="D1" s="135"/>
      <c r="E1" s="135"/>
      <c r="F1" s="135"/>
      <c r="G1" s="135"/>
      <c r="H1" s="135"/>
      <c r="I1" s="1"/>
    </row>
    <row r="2" spans="1:9" ht="20.45" customHeight="1">
      <c r="A2" s="139" t="s">
        <v>1</v>
      </c>
      <c r="B2" s="139"/>
      <c r="C2" s="139"/>
      <c r="D2" s="139"/>
      <c r="E2" s="139"/>
      <c r="F2" s="139"/>
      <c r="G2" s="139"/>
      <c r="H2" s="139"/>
      <c r="I2" s="139"/>
    </row>
    <row r="3" spans="1:9" ht="22.15" customHeight="1" thickBot="1">
      <c r="A3" s="2"/>
      <c r="B3" s="2"/>
      <c r="C3" s="2"/>
      <c r="D3" s="2"/>
      <c r="E3" s="2"/>
      <c r="F3" s="2"/>
      <c r="G3" s="2"/>
      <c r="H3" s="2"/>
      <c r="I3" s="2"/>
    </row>
    <row r="4" spans="1:9" ht="12.75" customHeight="1" thickBot="1">
      <c r="A4" s="136" t="s">
        <v>2</v>
      </c>
      <c r="B4" s="142" t="s">
        <v>3</v>
      </c>
      <c r="C4" s="3" t="s">
        <v>4</v>
      </c>
      <c r="D4" s="3" t="s">
        <v>5</v>
      </c>
      <c r="E4" s="36" t="s">
        <v>6</v>
      </c>
      <c r="F4" s="36" t="s">
        <v>7</v>
      </c>
      <c r="G4" s="85" t="s">
        <v>8</v>
      </c>
      <c r="H4" s="81" t="s">
        <v>9</v>
      </c>
      <c r="I4" s="126">
        <v>45999</v>
      </c>
    </row>
    <row r="5" spans="1:9" ht="13.5" customHeight="1">
      <c r="A5" s="137"/>
      <c r="B5" s="143"/>
      <c r="C5" s="36" t="s">
        <v>10</v>
      </c>
      <c r="D5" s="37" t="s">
        <v>11</v>
      </c>
      <c r="E5" s="37" t="s">
        <v>12</v>
      </c>
      <c r="F5" s="37" t="s">
        <v>13</v>
      </c>
      <c r="G5" s="37" t="s">
        <v>14</v>
      </c>
      <c r="H5" s="140" t="s">
        <v>15</v>
      </c>
      <c r="I5" s="2"/>
    </row>
    <row r="6" spans="1:9" ht="13.5" customHeight="1" thickBot="1">
      <c r="A6" s="138"/>
      <c r="B6" s="144"/>
      <c r="C6" s="38"/>
      <c r="D6" s="38" t="s">
        <v>16</v>
      </c>
      <c r="E6" s="38"/>
      <c r="F6" s="39" t="s">
        <v>17</v>
      </c>
      <c r="G6" s="39" t="s">
        <v>18</v>
      </c>
      <c r="H6" s="141"/>
      <c r="I6" s="2"/>
    </row>
    <row r="7" spans="1:9" ht="4.9000000000000004" customHeight="1" thickBot="1">
      <c r="A7" s="27"/>
      <c r="B7" s="24"/>
      <c r="C7" s="25"/>
      <c r="D7" s="25"/>
      <c r="E7" s="25"/>
      <c r="F7" s="25"/>
      <c r="G7" s="25"/>
      <c r="H7" s="26"/>
      <c r="I7" s="2"/>
    </row>
    <row r="8" spans="1:9" ht="16.5" customHeight="1" thickBot="1">
      <c r="A8" s="125" t="s">
        <v>19</v>
      </c>
      <c r="B8" s="75"/>
      <c r="C8" s="76">
        <v>50</v>
      </c>
      <c r="D8" s="76">
        <v>55</v>
      </c>
      <c r="E8" s="76">
        <v>60</v>
      </c>
      <c r="F8" s="76">
        <v>65</v>
      </c>
      <c r="G8" s="76">
        <v>85</v>
      </c>
      <c r="H8" s="77">
        <v>100</v>
      </c>
      <c r="I8" s="22" t="s">
        <v>20</v>
      </c>
    </row>
    <row r="9" spans="1:9" ht="12.75" customHeight="1">
      <c r="A9" s="6" t="s">
        <v>21</v>
      </c>
      <c r="B9" s="41">
        <v>2</v>
      </c>
      <c r="C9" s="53">
        <f t="shared" ref="C9:H9" si="0">SUM(C8*2)</f>
        <v>100</v>
      </c>
      <c r="D9" s="53">
        <f t="shared" si="0"/>
        <v>110</v>
      </c>
      <c r="E9" s="53">
        <f t="shared" si="0"/>
        <v>120</v>
      </c>
      <c r="F9" s="53">
        <f t="shared" si="0"/>
        <v>130</v>
      </c>
      <c r="G9" s="53">
        <f t="shared" si="0"/>
        <v>170</v>
      </c>
      <c r="H9" s="53">
        <f t="shared" si="0"/>
        <v>200</v>
      </c>
      <c r="I9" s="23"/>
    </row>
    <row r="10" spans="1:9" ht="12.75" customHeight="1">
      <c r="A10" s="7" t="s">
        <v>22</v>
      </c>
      <c r="B10" s="40" t="s">
        <v>23</v>
      </c>
      <c r="C10" s="54">
        <f>C8*1.6</f>
        <v>80</v>
      </c>
      <c r="D10" s="54">
        <f t="shared" ref="D10:F10" si="1">D8*1.6</f>
        <v>88</v>
      </c>
      <c r="E10" s="54">
        <f t="shared" si="1"/>
        <v>96</v>
      </c>
      <c r="F10" s="54">
        <f t="shared" si="1"/>
        <v>104</v>
      </c>
      <c r="G10" s="86">
        <f>G8*1.7</f>
        <v>144.5</v>
      </c>
      <c r="H10" s="86">
        <f>H8*1.7</f>
        <v>170</v>
      </c>
      <c r="I10" s="23"/>
    </row>
    <row r="11" spans="1:9" ht="12.75" customHeight="1">
      <c r="A11" s="8" t="s">
        <v>24</v>
      </c>
      <c r="B11" s="40" t="s">
        <v>23</v>
      </c>
      <c r="C11" s="55">
        <f>C8*1.6</f>
        <v>80</v>
      </c>
      <c r="D11" s="55">
        <f t="shared" ref="D11:F11" si="2">D8*1.6</f>
        <v>88</v>
      </c>
      <c r="E11" s="55">
        <f t="shared" si="2"/>
        <v>96</v>
      </c>
      <c r="F11" s="55">
        <f t="shared" si="2"/>
        <v>104</v>
      </c>
      <c r="G11" s="87">
        <f>G8*1.7</f>
        <v>144.5</v>
      </c>
      <c r="H11" s="87">
        <f>H8*1.7</f>
        <v>170</v>
      </c>
      <c r="I11" s="23"/>
    </row>
    <row r="12" spans="1:9" ht="12.75" customHeight="1">
      <c r="A12" s="9" t="s">
        <v>25</v>
      </c>
      <c r="B12" s="40">
        <v>2</v>
      </c>
      <c r="C12" s="56">
        <f t="shared" ref="C12:H12" si="3">C8*2</f>
        <v>100</v>
      </c>
      <c r="D12" s="56">
        <f t="shared" si="3"/>
        <v>110</v>
      </c>
      <c r="E12" s="56">
        <f t="shared" si="3"/>
        <v>120</v>
      </c>
      <c r="F12" s="56">
        <f t="shared" si="3"/>
        <v>130</v>
      </c>
      <c r="G12" s="56">
        <f t="shared" si="3"/>
        <v>170</v>
      </c>
      <c r="H12" s="56">
        <f t="shared" si="3"/>
        <v>200</v>
      </c>
      <c r="I12" s="23"/>
    </row>
    <row r="13" spans="1:9" ht="13.9" thickBot="1">
      <c r="A13" s="10" t="s">
        <v>26</v>
      </c>
      <c r="B13" s="42">
        <v>2</v>
      </c>
      <c r="C13" s="57">
        <f t="shared" ref="C13:H13" si="4">C8*2</f>
        <v>100</v>
      </c>
      <c r="D13" s="57">
        <f t="shared" si="4"/>
        <v>110</v>
      </c>
      <c r="E13" s="57">
        <f t="shared" si="4"/>
        <v>120</v>
      </c>
      <c r="F13" s="57">
        <f t="shared" si="4"/>
        <v>130</v>
      </c>
      <c r="G13" s="57">
        <f t="shared" si="4"/>
        <v>170</v>
      </c>
      <c r="H13" s="57">
        <f t="shared" si="4"/>
        <v>200</v>
      </c>
      <c r="I13" s="10"/>
    </row>
    <row r="14" spans="1:9" s="83" customFormat="1" ht="11.45" customHeight="1" thickBot="1">
      <c r="A14" s="82"/>
      <c r="B14" s="82"/>
      <c r="C14" s="74">
        <f t="shared" ref="C14:H14" si="5">C8*1.15</f>
        <v>57.499999999999993</v>
      </c>
      <c r="D14" s="74">
        <f t="shared" si="5"/>
        <v>63.249999999999993</v>
      </c>
      <c r="E14" s="74">
        <f t="shared" si="5"/>
        <v>69</v>
      </c>
      <c r="F14" s="74">
        <f t="shared" si="5"/>
        <v>74.75</v>
      </c>
      <c r="G14" s="74">
        <f t="shared" si="5"/>
        <v>97.749999999999986</v>
      </c>
      <c r="H14" s="74">
        <f t="shared" si="5"/>
        <v>114.99999999999999</v>
      </c>
      <c r="I14" s="84"/>
    </row>
    <row r="15" spans="1:9" ht="18" customHeight="1" thickBot="1">
      <c r="A15" s="129" t="s">
        <v>27</v>
      </c>
      <c r="B15" s="130"/>
      <c r="C15" s="76">
        <v>58</v>
      </c>
      <c r="D15" s="76">
        <v>63</v>
      </c>
      <c r="E15" s="76">
        <v>69</v>
      </c>
      <c r="F15" s="76">
        <v>75</v>
      </c>
      <c r="G15" s="76">
        <v>98</v>
      </c>
      <c r="H15" s="76">
        <v>115</v>
      </c>
      <c r="I15" s="22" t="s">
        <v>28</v>
      </c>
    </row>
    <row r="16" spans="1:9" ht="12.6" customHeight="1">
      <c r="A16" s="11" t="s">
        <v>29</v>
      </c>
      <c r="B16" s="43">
        <v>2</v>
      </c>
      <c r="C16" s="58">
        <f t="shared" ref="C16:H16" si="6">C15*2</f>
        <v>116</v>
      </c>
      <c r="D16" s="58">
        <f t="shared" si="6"/>
        <v>126</v>
      </c>
      <c r="E16" s="58">
        <f t="shared" si="6"/>
        <v>138</v>
      </c>
      <c r="F16" s="58">
        <f t="shared" si="6"/>
        <v>150</v>
      </c>
      <c r="G16" s="58">
        <f t="shared" si="6"/>
        <v>196</v>
      </c>
      <c r="H16" s="58">
        <f t="shared" si="6"/>
        <v>230</v>
      </c>
      <c r="I16" s="23" t="s">
        <v>30</v>
      </c>
    </row>
    <row r="17" spans="1:9" ht="12.6" customHeight="1">
      <c r="A17" s="9" t="s">
        <v>24</v>
      </c>
      <c r="B17" s="44">
        <v>2</v>
      </c>
      <c r="C17" s="59">
        <f t="shared" ref="C17:H17" si="7">C15*2</f>
        <v>116</v>
      </c>
      <c r="D17" s="59">
        <f t="shared" si="7"/>
        <v>126</v>
      </c>
      <c r="E17" s="59">
        <f t="shared" si="7"/>
        <v>138</v>
      </c>
      <c r="F17" s="59">
        <f t="shared" si="7"/>
        <v>150</v>
      </c>
      <c r="G17" s="59">
        <f t="shared" si="7"/>
        <v>196</v>
      </c>
      <c r="H17" s="59">
        <f t="shared" si="7"/>
        <v>230</v>
      </c>
      <c r="I17" s="23" t="s">
        <v>31</v>
      </c>
    </row>
    <row r="18" spans="1:9" ht="12.6" customHeight="1">
      <c r="A18" s="9" t="s">
        <v>25</v>
      </c>
      <c r="B18" s="45">
        <v>2</v>
      </c>
      <c r="C18" s="59">
        <f t="shared" ref="C18:H18" si="8">C15*2</f>
        <v>116</v>
      </c>
      <c r="D18" s="59">
        <f t="shared" si="8"/>
        <v>126</v>
      </c>
      <c r="E18" s="59">
        <f t="shared" si="8"/>
        <v>138</v>
      </c>
      <c r="F18" s="59">
        <f t="shared" si="8"/>
        <v>150</v>
      </c>
      <c r="G18" s="59">
        <f t="shared" si="8"/>
        <v>196</v>
      </c>
      <c r="H18" s="59">
        <f t="shared" si="8"/>
        <v>230</v>
      </c>
      <c r="I18" s="23"/>
    </row>
    <row r="19" spans="1:9" ht="12.6" customHeight="1" thickBot="1">
      <c r="A19" s="9" t="s">
        <v>32</v>
      </c>
      <c r="B19" s="45" t="s">
        <v>33</v>
      </c>
      <c r="C19" s="88">
        <f>C15*2.4</f>
        <v>139.19999999999999</v>
      </c>
      <c r="D19" s="88">
        <f>D15*2.4</f>
        <v>151.19999999999999</v>
      </c>
      <c r="E19" s="88">
        <f>E15*2.4</f>
        <v>165.6</v>
      </c>
      <c r="F19" s="88">
        <f>F15*2.4</f>
        <v>180</v>
      </c>
      <c r="G19" s="60">
        <f>G15*2.5</f>
        <v>245</v>
      </c>
      <c r="H19" s="60">
        <f>H15*2.5</f>
        <v>287.5</v>
      </c>
      <c r="I19" s="23"/>
    </row>
    <row r="20" spans="1:9" ht="12.75" customHeight="1">
      <c r="A20" s="12" t="s">
        <v>34</v>
      </c>
      <c r="B20" s="41">
        <v>2</v>
      </c>
      <c r="C20" s="61">
        <f t="shared" ref="C20:H20" si="9">C15*2</f>
        <v>116</v>
      </c>
      <c r="D20" s="61">
        <f t="shared" si="9"/>
        <v>126</v>
      </c>
      <c r="E20" s="61">
        <f t="shared" si="9"/>
        <v>138</v>
      </c>
      <c r="F20" s="61">
        <f t="shared" si="9"/>
        <v>150</v>
      </c>
      <c r="G20" s="61">
        <f t="shared" si="9"/>
        <v>196</v>
      </c>
      <c r="H20" s="61">
        <f t="shared" si="9"/>
        <v>230</v>
      </c>
      <c r="I20" s="23"/>
    </row>
    <row r="21" spans="1:9" ht="12.75" customHeight="1">
      <c r="A21" s="13" t="s">
        <v>26</v>
      </c>
      <c r="B21" s="46">
        <v>2</v>
      </c>
      <c r="C21" s="62">
        <f t="shared" ref="C21:H21" si="10">C15*2</f>
        <v>116</v>
      </c>
      <c r="D21" s="62">
        <f t="shared" si="10"/>
        <v>126</v>
      </c>
      <c r="E21" s="62">
        <f t="shared" si="10"/>
        <v>138</v>
      </c>
      <c r="F21" s="62">
        <f t="shared" si="10"/>
        <v>150</v>
      </c>
      <c r="G21" s="62">
        <f t="shared" si="10"/>
        <v>196</v>
      </c>
      <c r="H21" s="62">
        <f t="shared" si="10"/>
        <v>230</v>
      </c>
      <c r="I21" s="23"/>
    </row>
    <row r="22" spans="1:9" ht="12.75" customHeight="1" thickBot="1">
      <c r="A22" s="14" t="s">
        <v>35</v>
      </c>
      <c r="B22" s="47" t="s">
        <v>36</v>
      </c>
      <c r="C22" s="89">
        <f>C15*2.4</f>
        <v>139.19999999999999</v>
      </c>
      <c r="D22" s="89">
        <f>D15*2.4</f>
        <v>151.19999999999999</v>
      </c>
      <c r="E22" s="89">
        <f>E15*2.4</f>
        <v>165.6</v>
      </c>
      <c r="F22" s="89">
        <f>F15*2.4</f>
        <v>180</v>
      </c>
      <c r="G22" s="63">
        <f>G15*2.5</f>
        <v>245</v>
      </c>
      <c r="H22" s="63">
        <f>H15*2.5</f>
        <v>287.5</v>
      </c>
      <c r="I22" s="23"/>
    </row>
    <row r="23" spans="1:9" ht="12.75" customHeight="1">
      <c r="A23" s="12" t="s">
        <v>37</v>
      </c>
      <c r="B23" s="78">
        <v>2.65</v>
      </c>
      <c r="C23" s="64">
        <f t="shared" ref="C23:H23" si="11">C15*2.65</f>
        <v>153.69999999999999</v>
      </c>
      <c r="D23" s="64">
        <f t="shared" si="11"/>
        <v>166.95</v>
      </c>
      <c r="E23" s="64">
        <f t="shared" si="11"/>
        <v>182.85</v>
      </c>
      <c r="F23" s="64">
        <f t="shared" si="11"/>
        <v>198.75</v>
      </c>
      <c r="G23" s="64">
        <f t="shared" si="11"/>
        <v>259.7</v>
      </c>
      <c r="H23" s="64">
        <f t="shared" si="11"/>
        <v>304.75</v>
      </c>
      <c r="I23" s="23"/>
    </row>
    <row r="24" spans="1:9" ht="12.75" customHeight="1" thickBot="1">
      <c r="A24" s="14" t="s">
        <v>38</v>
      </c>
      <c r="B24" s="79">
        <v>2.65</v>
      </c>
      <c r="C24" s="63">
        <f t="shared" ref="C24:H24" si="12">C15*2.65</f>
        <v>153.69999999999999</v>
      </c>
      <c r="D24" s="63">
        <f t="shared" si="12"/>
        <v>166.95</v>
      </c>
      <c r="E24" s="63">
        <f t="shared" si="12"/>
        <v>182.85</v>
      </c>
      <c r="F24" s="63">
        <f t="shared" si="12"/>
        <v>198.75</v>
      </c>
      <c r="G24" s="63">
        <f t="shared" si="12"/>
        <v>259.7</v>
      </c>
      <c r="H24" s="63">
        <f t="shared" si="12"/>
        <v>304.75</v>
      </c>
      <c r="I24" s="23"/>
    </row>
    <row r="25" spans="1:9" ht="12.6" customHeight="1" thickBot="1">
      <c r="A25" s="15" t="s">
        <v>39</v>
      </c>
      <c r="B25" s="80">
        <v>3.3</v>
      </c>
      <c r="C25" s="65">
        <f t="shared" ref="C25:H25" si="13">C15*3.3</f>
        <v>191.39999999999998</v>
      </c>
      <c r="D25" s="65">
        <f t="shared" si="13"/>
        <v>207.89999999999998</v>
      </c>
      <c r="E25" s="65">
        <f t="shared" si="13"/>
        <v>227.7</v>
      </c>
      <c r="F25" s="65">
        <f t="shared" si="13"/>
        <v>247.5</v>
      </c>
      <c r="G25" s="65">
        <f t="shared" si="13"/>
        <v>323.39999999999998</v>
      </c>
      <c r="H25" s="65">
        <f t="shared" si="13"/>
        <v>379.5</v>
      </c>
      <c r="I25" s="10"/>
    </row>
    <row r="26" spans="1:9" s="83" customFormat="1" ht="12" customHeight="1" thickBot="1">
      <c r="A26" s="82"/>
      <c r="B26" s="82"/>
      <c r="C26" s="74">
        <f t="shared" ref="C26:H26" si="14">C8*1.4</f>
        <v>70</v>
      </c>
      <c r="D26" s="74">
        <f t="shared" si="14"/>
        <v>77</v>
      </c>
      <c r="E26" s="74">
        <f t="shared" si="14"/>
        <v>84</v>
      </c>
      <c r="F26" s="74">
        <f t="shared" si="14"/>
        <v>91</v>
      </c>
      <c r="G26" s="74">
        <f t="shared" si="14"/>
        <v>118.99999999999999</v>
      </c>
      <c r="H26" s="74">
        <f t="shared" si="14"/>
        <v>140</v>
      </c>
      <c r="I26" s="82"/>
    </row>
    <row r="27" spans="1:9" ht="17.45" customHeight="1" thickBot="1">
      <c r="A27" s="129" t="s">
        <v>40</v>
      </c>
      <c r="B27" s="130"/>
      <c r="C27" s="76">
        <v>70</v>
      </c>
      <c r="D27" s="76">
        <v>77</v>
      </c>
      <c r="E27" s="76">
        <v>84</v>
      </c>
      <c r="F27" s="76">
        <v>91</v>
      </c>
      <c r="G27" s="76">
        <v>119</v>
      </c>
      <c r="H27" s="76">
        <v>140</v>
      </c>
      <c r="I27" s="28" t="s">
        <v>41</v>
      </c>
    </row>
    <row r="28" spans="1:9" ht="12.75" customHeight="1">
      <c r="A28" s="12" t="s">
        <v>34</v>
      </c>
      <c r="B28" s="48">
        <v>2</v>
      </c>
      <c r="C28" s="66">
        <f t="shared" ref="C28:H28" si="15">C27*2</f>
        <v>140</v>
      </c>
      <c r="D28" s="66">
        <f t="shared" si="15"/>
        <v>154</v>
      </c>
      <c r="E28" s="66">
        <f t="shared" si="15"/>
        <v>168</v>
      </c>
      <c r="F28" s="66">
        <f t="shared" si="15"/>
        <v>182</v>
      </c>
      <c r="G28" s="66">
        <f t="shared" si="15"/>
        <v>238</v>
      </c>
      <c r="H28" s="66">
        <f t="shared" si="15"/>
        <v>280</v>
      </c>
      <c r="I28" s="29" t="s">
        <v>42</v>
      </c>
    </row>
    <row r="29" spans="1:9" ht="12.75" customHeight="1">
      <c r="A29" s="13" t="s">
        <v>26</v>
      </c>
      <c r="B29" s="46">
        <v>2</v>
      </c>
      <c r="C29" s="67">
        <f t="shared" ref="C29:H29" si="16">C27*2</f>
        <v>140</v>
      </c>
      <c r="D29" s="67">
        <f t="shared" si="16"/>
        <v>154</v>
      </c>
      <c r="E29" s="67">
        <f t="shared" si="16"/>
        <v>168</v>
      </c>
      <c r="F29" s="67">
        <f t="shared" si="16"/>
        <v>182</v>
      </c>
      <c r="G29" s="67">
        <f t="shared" si="16"/>
        <v>238</v>
      </c>
      <c r="H29" s="67">
        <f t="shared" si="16"/>
        <v>280</v>
      </c>
      <c r="I29" s="29" t="s">
        <v>43</v>
      </c>
    </row>
    <row r="30" spans="1:9" ht="12.75" customHeight="1">
      <c r="A30" s="16" t="s">
        <v>35</v>
      </c>
      <c r="B30" s="46">
        <v>2.25</v>
      </c>
      <c r="C30" s="68">
        <f t="shared" ref="C30:H30" si="17">C27*2.25</f>
        <v>157.5</v>
      </c>
      <c r="D30" s="68">
        <f t="shared" si="17"/>
        <v>173.25</v>
      </c>
      <c r="E30" s="68">
        <f t="shared" si="17"/>
        <v>189</v>
      </c>
      <c r="F30" s="68">
        <f t="shared" si="17"/>
        <v>204.75</v>
      </c>
      <c r="G30" s="68">
        <f t="shared" si="17"/>
        <v>267.75</v>
      </c>
      <c r="H30" s="68">
        <f t="shared" si="17"/>
        <v>315</v>
      </c>
      <c r="I30" s="29"/>
    </row>
    <row r="31" spans="1:9" ht="12.75" customHeight="1">
      <c r="A31" s="17" t="s">
        <v>44</v>
      </c>
      <c r="B31" s="49">
        <v>2.5</v>
      </c>
      <c r="C31" s="67">
        <f t="shared" ref="C31:H31" si="18">C27*2.5</f>
        <v>175</v>
      </c>
      <c r="D31" s="67">
        <f t="shared" si="18"/>
        <v>192.5</v>
      </c>
      <c r="E31" s="67">
        <f t="shared" si="18"/>
        <v>210</v>
      </c>
      <c r="F31" s="67">
        <f t="shared" si="18"/>
        <v>227.5</v>
      </c>
      <c r="G31" s="67">
        <f t="shared" si="18"/>
        <v>297.5</v>
      </c>
      <c r="H31" s="67">
        <f t="shared" si="18"/>
        <v>350</v>
      </c>
      <c r="I31" s="29"/>
    </row>
    <row r="32" spans="1:9" ht="12.75" customHeight="1" thickBot="1">
      <c r="A32" s="18" t="s">
        <v>45</v>
      </c>
      <c r="B32" s="50">
        <v>2.75</v>
      </c>
      <c r="C32" s="69">
        <f t="shared" ref="C32:H32" si="19">C27*2.75</f>
        <v>192.5</v>
      </c>
      <c r="D32" s="69">
        <f t="shared" si="19"/>
        <v>211.75</v>
      </c>
      <c r="E32" s="69">
        <f t="shared" si="19"/>
        <v>231</v>
      </c>
      <c r="F32" s="69">
        <f t="shared" si="19"/>
        <v>250.25</v>
      </c>
      <c r="G32" s="69">
        <f t="shared" si="19"/>
        <v>327.25</v>
      </c>
      <c r="H32" s="69">
        <f t="shared" si="19"/>
        <v>385</v>
      </c>
      <c r="I32" s="29"/>
    </row>
    <row r="33" spans="1:9" ht="12.75" customHeight="1">
      <c r="A33" s="30" t="s">
        <v>37</v>
      </c>
      <c r="B33" s="51">
        <v>2.4</v>
      </c>
      <c r="C33" s="66">
        <f t="shared" ref="C33:H33" si="20">C27*2.4</f>
        <v>168</v>
      </c>
      <c r="D33" s="66">
        <f t="shared" si="20"/>
        <v>184.79999999999998</v>
      </c>
      <c r="E33" s="66">
        <f t="shared" si="20"/>
        <v>201.6</v>
      </c>
      <c r="F33" s="66">
        <f t="shared" si="20"/>
        <v>218.4</v>
      </c>
      <c r="G33" s="66">
        <f t="shared" si="20"/>
        <v>285.59999999999997</v>
      </c>
      <c r="H33" s="66">
        <f t="shared" si="20"/>
        <v>336</v>
      </c>
      <c r="I33" s="29"/>
    </row>
    <row r="34" spans="1:9" ht="12.75" customHeight="1">
      <c r="A34" s="17" t="s">
        <v>38</v>
      </c>
      <c r="B34" s="49">
        <v>2.4</v>
      </c>
      <c r="C34" s="67">
        <f t="shared" ref="C34:H34" si="21">C27*2.4</f>
        <v>168</v>
      </c>
      <c r="D34" s="67">
        <f t="shared" si="21"/>
        <v>184.79999999999998</v>
      </c>
      <c r="E34" s="67">
        <f t="shared" si="21"/>
        <v>201.6</v>
      </c>
      <c r="F34" s="67">
        <f t="shared" si="21"/>
        <v>218.4</v>
      </c>
      <c r="G34" s="67">
        <f t="shared" si="21"/>
        <v>285.59999999999997</v>
      </c>
      <c r="H34" s="67">
        <f t="shared" si="21"/>
        <v>336</v>
      </c>
      <c r="I34" s="29"/>
    </row>
    <row r="35" spans="1:9" ht="12.75" customHeight="1">
      <c r="A35" s="17" t="s">
        <v>46</v>
      </c>
      <c r="B35" s="49">
        <v>2.65</v>
      </c>
      <c r="C35" s="67">
        <f t="shared" ref="C35:H35" si="22">C27*2.65</f>
        <v>185.5</v>
      </c>
      <c r="D35" s="67">
        <f t="shared" si="22"/>
        <v>204.04999999999998</v>
      </c>
      <c r="E35" s="67">
        <f t="shared" si="22"/>
        <v>222.6</v>
      </c>
      <c r="F35" s="67">
        <f t="shared" si="22"/>
        <v>241.15</v>
      </c>
      <c r="G35" s="67">
        <f t="shared" si="22"/>
        <v>315.34999999999997</v>
      </c>
      <c r="H35" s="67">
        <f t="shared" si="22"/>
        <v>371</v>
      </c>
      <c r="I35" s="29"/>
    </row>
    <row r="36" spans="1:9" ht="12.75" customHeight="1" thickBot="1">
      <c r="A36" s="18" t="s">
        <v>47</v>
      </c>
      <c r="B36" s="50">
        <v>2.9</v>
      </c>
      <c r="C36" s="69">
        <f t="shared" ref="C36:H36" si="23">C27*2.9</f>
        <v>203</v>
      </c>
      <c r="D36" s="69">
        <f t="shared" si="23"/>
        <v>223.29999999999998</v>
      </c>
      <c r="E36" s="69">
        <f t="shared" si="23"/>
        <v>243.6</v>
      </c>
      <c r="F36" s="69">
        <f t="shared" si="23"/>
        <v>263.89999999999998</v>
      </c>
      <c r="G36" s="69">
        <f t="shared" si="23"/>
        <v>345.09999999999997</v>
      </c>
      <c r="H36" s="69">
        <f t="shared" si="23"/>
        <v>406</v>
      </c>
      <c r="I36" s="29"/>
    </row>
    <row r="37" spans="1:9" ht="12.75" customHeight="1">
      <c r="A37" s="30" t="s">
        <v>39</v>
      </c>
      <c r="B37" s="51">
        <v>2.8</v>
      </c>
      <c r="C37" s="66">
        <f t="shared" ref="C37:H37" si="24">C27*2.8</f>
        <v>196</v>
      </c>
      <c r="D37" s="66">
        <f t="shared" si="24"/>
        <v>215.6</v>
      </c>
      <c r="E37" s="66">
        <f t="shared" si="24"/>
        <v>235.2</v>
      </c>
      <c r="F37" s="66">
        <f t="shared" si="24"/>
        <v>254.79999999999998</v>
      </c>
      <c r="G37" s="66">
        <f t="shared" si="24"/>
        <v>333.2</v>
      </c>
      <c r="H37" s="66">
        <f t="shared" si="24"/>
        <v>392</v>
      </c>
      <c r="I37" s="29"/>
    </row>
    <row r="38" spans="1:9" ht="12.75" customHeight="1">
      <c r="A38" s="17" t="s">
        <v>48</v>
      </c>
      <c r="B38" s="49">
        <v>2.8</v>
      </c>
      <c r="C38" s="67">
        <f t="shared" ref="C38:H38" si="25">C27*2.8</f>
        <v>196</v>
      </c>
      <c r="D38" s="67">
        <f t="shared" si="25"/>
        <v>215.6</v>
      </c>
      <c r="E38" s="67">
        <f t="shared" si="25"/>
        <v>235.2</v>
      </c>
      <c r="F38" s="67">
        <f t="shared" si="25"/>
        <v>254.79999999999998</v>
      </c>
      <c r="G38" s="67">
        <f t="shared" si="25"/>
        <v>333.2</v>
      </c>
      <c r="H38" s="67">
        <f t="shared" si="25"/>
        <v>392</v>
      </c>
      <c r="I38" s="29"/>
    </row>
    <row r="39" spans="1:9" ht="12.75" customHeight="1" thickBot="1">
      <c r="A39" s="19" t="s">
        <v>49</v>
      </c>
      <c r="B39" s="50">
        <v>3.05</v>
      </c>
      <c r="C39" s="70">
        <f t="shared" ref="C39:H39" si="26">C27*3.05</f>
        <v>213.5</v>
      </c>
      <c r="D39" s="70">
        <f t="shared" si="26"/>
        <v>234.85</v>
      </c>
      <c r="E39" s="70">
        <f t="shared" si="26"/>
        <v>256.2</v>
      </c>
      <c r="F39" s="70">
        <f t="shared" si="26"/>
        <v>277.55</v>
      </c>
      <c r="G39" s="70">
        <f t="shared" si="26"/>
        <v>362.95</v>
      </c>
      <c r="H39" s="70">
        <f t="shared" si="26"/>
        <v>427</v>
      </c>
      <c r="I39" s="29"/>
    </row>
    <row r="40" spans="1:9" ht="12.75" customHeight="1">
      <c r="A40" s="20" t="s">
        <v>50</v>
      </c>
      <c r="B40" s="41">
        <v>3.2</v>
      </c>
      <c r="C40" s="71">
        <f t="shared" ref="C40:H40" si="27">C27*3.2</f>
        <v>224</v>
      </c>
      <c r="D40" s="71">
        <f t="shared" si="27"/>
        <v>246.4</v>
      </c>
      <c r="E40" s="71">
        <f t="shared" si="27"/>
        <v>268.8</v>
      </c>
      <c r="F40" s="71">
        <f t="shared" si="27"/>
        <v>291.2</v>
      </c>
      <c r="G40" s="71">
        <f t="shared" si="27"/>
        <v>380.8</v>
      </c>
      <c r="H40" s="71">
        <f t="shared" si="27"/>
        <v>448</v>
      </c>
      <c r="I40" s="29"/>
    </row>
    <row r="41" spans="1:9" ht="12.75" customHeight="1" thickBot="1">
      <c r="A41" s="14" t="s">
        <v>51</v>
      </c>
      <c r="B41" s="42">
        <v>3.2</v>
      </c>
      <c r="C41" s="72">
        <f t="shared" ref="C41:H41" si="28">C27*3.2</f>
        <v>224</v>
      </c>
      <c r="D41" s="72">
        <f t="shared" si="28"/>
        <v>246.4</v>
      </c>
      <c r="E41" s="72">
        <f t="shared" si="28"/>
        <v>268.8</v>
      </c>
      <c r="F41" s="72">
        <f t="shared" si="28"/>
        <v>291.2</v>
      </c>
      <c r="G41" s="72">
        <f t="shared" si="28"/>
        <v>380.8</v>
      </c>
      <c r="H41" s="72">
        <f t="shared" si="28"/>
        <v>448</v>
      </c>
      <c r="I41" s="29"/>
    </row>
    <row r="42" spans="1:9" ht="13.5" customHeight="1" thickBot="1">
      <c r="A42" s="21" t="s">
        <v>52</v>
      </c>
      <c r="B42" s="52">
        <v>3.6</v>
      </c>
      <c r="C42" s="73">
        <f t="shared" ref="C42:H42" si="29">C27*3.6</f>
        <v>252</v>
      </c>
      <c r="D42" s="73">
        <f t="shared" si="29"/>
        <v>277.2</v>
      </c>
      <c r="E42" s="73">
        <f t="shared" si="29"/>
        <v>302.40000000000003</v>
      </c>
      <c r="F42" s="73">
        <f t="shared" si="29"/>
        <v>327.60000000000002</v>
      </c>
      <c r="G42" s="73">
        <f t="shared" si="29"/>
        <v>428.40000000000003</v>
      </c>
      <c r="H42" s="73">
        <f t="shared" si="29"/>
        <v>504</v>
      </c>
      <c r="I42" s="32"/>
    </row>
    <row r="43" spans="1:9" ht="5.25" customHeight="1" thickBot="1">
      <c r="A43" s="33"/>
      <c r="B43" s="33"/>
      <c r="C43" s="31"/>
      <c r="D43" s="31"/>
      <c r="E43" s="31"/>
      <c r="F43" s="31"/>
      <c r="G43" s="31"/>
      <c r="H43" s="31"/>
      <c r="I43" s="34"/>
    </row>
    <row r="44" spans="1:9" ht="12.75" customHeight="1" thickBot="1">
      <c r="A44" s="127" t="s">
        <v>53</v>
      </c>
      <c r="B44" s="128"/>
      <c r="C44" s="4">
        <v>3</v>
      </c>
      <c r="D44" s="4">
        <v>3</v>
      </c>
      <c r="E44" s="4">
        <v>3</v>
      </c>
      <c r="F44" s="4">
        <v>5</v>
      </c>
      <c r="G44" s="4">
        <v>5</v>
      </c>
      <c r="H44" s="4">
        <v>5</v>
      </c>
      <c r="I44" s="35"/>
    </row>
    <row r="45" spans="1:9" ht="12.75" customHeight="1" thickBot="1">
      <c r="A45" s="127" t="s">
        <v>54</v>
      </c>
      <c r="B45" s="128"/>
      <c r="C45" s="4">
        <v>3</v>
      </c>
      <c r="D45" s="4">
        <v>3</v>
      </c>
      <c r="E45" s="4">
        <v>3</v>
      </c>
      <c r="F45" s="4">
        <v>3</v>
      </c>
      <c r="G45" s="4">
        <v>5</v>
      </c>
      <c r="H45" s="4">
        <v>5</v>
      </c>
      <c r="I45" s="35"/>
    </row>
    <row r="46" spans="1:9" ht="12.7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2.95" customHeight="1" thickBot="1">
      <c r="A47" s="131" t="s">
        <v>55</v>
      </c>
      <c r="B47" s="132"/>
      <c r="C47" s="132"/>
      <c r="D47" s="132"/>
      <c r="E47" s="132"/>
      <c r="F47" s="132"/>
      <c r="G47" s="132"/>
      <c r="H47" s="132"/>
      <c r="I47" s="133"/>
    </row>
    <row r="48" spans="1:9" ht="12.75">
      <c r="A48" s="91"/>
      <c r="B48" s="91"/>
      <c r="C48" s="91"/>
      <c r="D48" s="91"/>
      <c r="E48" s="91"/>
      <c r="F48" s="91"/>
      <c r="G48" s="91"/>
      <c r="H48" s="91"/>
      <c r="I48" s="91"/>
    </row>
    <row r="49" spans="1:9" s="90" customFormat="1" ht="13.15" customHeight="1">
      <c r="A49" s="134" t="s">
        <v>56</v>
      </c>
      <c r="B49" s="134"/>
      <c r="C49" s="134"/>
      <c r="D49" s="134"/>
      <c r="E49" s="92"/>
      <c r="F49" s="92"/>
      <c r="G49" s="92"/>
      <c r="H49" s="92"/>
      <c r="I49" s="92"/>
    </row>
    <row r="50" spans="1:9" s="90" customFormat="1" ht="13.15" customHeight="1">
      <c r="A50" s="146" t="s">
        <v>57</v>
      </c>
      <c r="B50" s="146"/>
      <c r="C50" s="146"/>
      <c r="D50" s="146"/>
      <c r="E50" s="92"/>
      <c r="F50" s="92"/>
      <c r="G50" s="92"/>
      <c r="H50" s="92"/>
      <c r="I50" s="92"/>
    </row>
    <row r="51" spans="1:9" s="90" customFormat="1" ht="13.15" customHeight="1">
      <c r="A51" s="146" t="s">
        <v>58</v>
      </c>
      <c r="B51" s="146"/>
      <c r="C51" s="146"/>
      <c r="D51" s="146"/>
      <c r="E51" s="92"/>
      <c r="F51" s="92"/>
      <c r="G51" s="92"/>
      <c r="H51" s="92"/>
      <c r="I51" s="92"/>
    </row>
    <row r="52" spans="1:9" s="90" customFormat="1" ht="13.15" customHeight="1">
      <c r="A52" s="146" t="s">
        <v>59</v>
      </c>
      <c r="B52" s="146"/>
      <c r="C52" s="146"/>
      <c r="D52" s="146"/>
      <c r="E52" s="92"/>
      <c r="F52" s="92"/>
      <c r="G52" s="92"/>
      <c r="H52" s="92"/>
      <c r="I52" s="92"/>
    </row>
    <row r="53" spans="1:9" s="90" customFormat="1" ht="13.15" customHeight="1">
      <c r="A53" s="134" t="s">
        <v>60</v>
      </c>
      <c r="B53" s="134"/>
      <c r="C53" s="134"/>
      <c r="D53" s="134"/>
      <c r="E53" s="92"/>
      <c r="F53" s="92"/>
      <c r="G53" s="92"/>
      <c r="H53" s="92"/>
      <c r="I53" s="92"/>
    </row>
    <row r="54" spans="1:9" s="90" customFormat="1" ht="13.15" customHeight="1">
      <c r="A54" s="93" t="s">
        <v>61</v>
      </c>
      <c r="B54" s="93"/>
      <c r="C54" s="93"/>
      <c r="D54" s="93"/>
      <c r="E54" s="92"/>
      <c r="F54" s="92"/>
      <c r="G54" s="92"/>
      <c r="H54" s="92"/>
      <c r="I54" s="92"/>
    </row>
    <row r="55" spans="1:9" s="90" customFormat="1" ht="13.15" customHeight="1">
      <c r="A55" s="145" t="s">
        <v>62</v>
      </c>
      <c r="B55" s="145"/>
      <c r="C55" s="145"/>
      <c r="D55" s="145"/>
      <c r="E55" s="92"/>
      <c r="F55" s="92"/>
      <c r="G55" s="92"/>
      <c r="H55" s="92"/>
      <c r="I55" s="92"/>
    </row>
    <row r="56" spans="1:9" s="90" customFormat="1" ht="13.15" customHeight="1">
      <c r="A56" s="124" t="s">
        <v>63</v>
      </c>
      <c r="B56" s="123"/>
      <c r="C56" s="123"/>
      <c r="D56" s="123"/>
      <c r="E56" s="92"/>
      <c r="F56" s="92"/>
      <c r="G56" s="92"/>
      <c r="H56" s="92"/>
      <c r="I56" s="92"/>
    </row>
    <row r="57" spans="1:9" s="90" customFormat="1" ht="13.15" customHeight="1">
      <c r="A57" s="134"/>
      <c r="B57" s="134"/>
      <c r="C57" s="134"/>
      <c r="D57" s="134"/>
      <c r="E57" s="92"/>
      <c r="F57" s="92"/>
      <c r="G57" s="92"/>
      <c r="H57" s="92"/>
      <c r="I57" s="92"/>
    </row>
    <row r="58" spans="1:9" s="90" customFormat="1" ht="13.15" customHeight="1">
      <c r="A58" s="134" t="s">
        <v>64</v>
      </c>
      <c r="B58" s="134"/>
      <c r="C58" s="134"/>
      <c r="D58" s="134"/>
      <c r="E58" s="92"/>
      <c r="F58" s="92"/>
      <c r="G58" s="92"/>
      <c r="H58" s="92"/>
      <c r="I58" s="92"/>
    </row>
  </sheetData>
  <mergeCells count="18">
    <mergeCell ref="A58:D58"/>
    <mergeCell ref="A53:D53"/>
    <mergeCell ref="A55:D55"/>
    <mergeCell ref="A57:D57"/>
    <mergeCell ref="A50:D50"/>
    <mergeCell ref="A51:D51"/>
    <mergeCell ref="A52:D52"/>
    <mergeCell ref="A1:H1"/>
    <mergeCell ref="A4:A6"/>
    <mergeCell ref="A2:I2"/>
    <mergeCell ref="H5:H6"/>
    <mergeCell ref="A44:B44"/>
    <mergeCell ref="B4:B6"/>
    <mergeCell ref="A45:B45"/>
    <mergeCell ref="A15:B15"/>
    <mergeCell ref="A27:B27"/>
    <mergeCell ref="A47:I47"/>
    <mergeCell ref="A49:D49"/>
  </mergeCells>
  <phoneticPr fontId="1" type="noConversion"/>
  <hyperlinks>
    <hyperlink ref="A56" r:id="rId1" xr:uid="{BCEA4E6D-ECDC-4E14-A1E6-C68C634828A3}"/>
  </hyperlinks>
  <pageMargins left="0.35433070866141736" right="0.35433070866141736" top="0.15748031496062992" bottom="0.15748031496062992" header="0.51181102362204722" footer="0.51181102362204722"/>
  <pageSetup paperSize="9" scale="67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CDDB-2DC5-4A08-A212-99FBE83F4A72}">
  <sheetPr>
    <pageSetUpPr fitToPage="1"/>
  </sheetPr>
  <dimension ref="A1:C31"/>
  <sheetViews>
    <sheetView workbookViewId="0">
      <selection activeCell="A19" sqref="A19:C19"/>
    </sheetView>
  </sheetViews>
  <sheetFormatPr defaultRowHeight="12.75"/>
  <cols>
    <col min="1" max="1" width="24.7109375" customWidth="1"/>
    <col min="2" max="2" width="3.7109375" customWidth="1"/>
    <col min="3" max="3" width="84.28515625" customWidth="1"/>
  </cols>
  <sheetData>
    <row r="1" spans="1:3" ht="47.25" customHeight="1">
      <c r="A1" s="153" t="s">
        <v>65</v>
      </c>
      <c r="B1" s="154"/>
      <c r="C1" s="154"/>
    </row>
    <row r="2" spans="1:3">
      <c r="A2" s="94" t="s">
        <v>66</v>
      </c>
      <c r="B2" s="95"/>
      <c r="C2" s="96" t="s">
        <v>66</v>
      </c>
    </row>
    <row r="3" spans="1:3" ht="15">
      <c r="A3" s="97" t="s">
        <v>67</v>
      </c>
      <c r="B3" s="98"/>
      <c r="C3" s="99" t="s">
        <v>68</v>
      </c>
    </row>
    <row r="4" spans="1:3" ht="15">
      <c r="A4" s="100" t="s">
        <v>69</v>
      </c>
      <c r="B4" s="101"/>
      <c r="C4" s="102" t="s">
        <v>70</v>
      </c>
    </row>
    <row r="5" spans="1:3" ht="15">
      <c r="A5" s="103" t="s">
        <v>71</v>
      </c>
      <c r="B5" s="104"/>
      <c r="C5" s="105" t="s">
        <v>72</v>
      </c>
    </row>
    <row r="6" spans="1:3" ht="15">
      <c r="A6" s="106" t="s">
        <v>73</v>
      </c>
      <c r="B6" s="107"/>
      <c r="C6" s="108" t="s">
        <v>74</v>
      </c>
    </row>
    <row r="7" spans="1:3" ht="15">
      <c r="A7" s="106" t="s">
        <v>75</v>
      </c>
      <c r="B7" s="107"/>
      <c r="C7" s="108" t="s">
        <v>76</v>
      </c>
    </row>
    <row r="8" spans="1:3" ht="15">
      <c r="A8" s="106" t="s">
        <v>77</v>
      </c>
      <c r="B8" s="107"/>
      <c r="C8" s="108" t="s">
        <v>78</v>
      </c>
    </row>
    <row r="9" spans="1:3" ht="15">
      <c r="A9" s="109" t="s">
        <v>79</v>
      </c>
      <c r="B9" s="110"/>
      <c r="C9" s="111" t="s">
        <v>80</v>
      </c>
    </row>
    <row r="10" spans="1:3" ht="15">
      <c r="A10" s="106" t="s">
        <v>81</v>
      </c>
      <c r="B10" s="107"/>
      <c r="C10" s="112" t="s">
        <v>82</v>
      </c>
    </row>
    <row r="11" spans="1:3" ht="15">
      <c r="A11" s="109" t="s">
        <v>83</v>
      </c>
      <c r="B11" s="110"/>
      <c r="C11" s="113" t="s">
        <v>84</v>
      </c>
    </row>
    <row r="12" spans="1:3" ht="15">
      <c r="A12" s="114" t="s">
        <v>85</v>
      </c>
      <c r="B12" s="115"/>
      <c r="C12" s="116" t="s">
        <v>86</v>
      </c>
    </row>
    <row r="13" spans="1:3" ht="15">
      <c r="A13" s="109" t="s">
        <v>66</v>
      </c>
      <c r="B13" s="110"/>
      <c r="C13" s="111" t="s">
        <v>87</v>
      </c>
    </row>
    <row r="14" spans="1:3" ht="15">
      <c r="A14" s="114" t="s">
        <v>88</v>
      </c>
      <c r="B14" s="115"/>
      <c r="C14" s="116" t="s">
        <v>89</v>
      </c>
    </row>
    <row r="15" spans="1:3" ht="15">
      <c r="A15" s="114" t="s">
        <v>66</v>
      </c>
      <c r="B15" s="115"/>
      <c r="C15" s="111" t="s">
        <v>90</v>
      </c>
    </row>
    <row r="16" spans="1:3" ht="15">
      <c r="A16" s="97" t="s">
        <v>91</v>
      </c>
      <c r="B16" s="98"/>
      <c r="C16" s="116" t="s">
        <v>92</v>
      </c>
    </row>
    <row r="17" spans="1:3" ht="15">
      <c r="A17" s="109" t="s">
        <v>66</v>
      </c>
      <c r="B17" s="110"/>
      <c r="C17" s="111" t="s">
        <v>93</v>
      </c>
    </row>
    <row r="19" spans="1:3" ht="38.25" customHeight="1">
      <c r="A19" s="150" t="s">
        <v>94</v>
      </c>
      <c r="B19" s="151"/>
      <c r="C19" s="152"/>
    </row>
    <row r="20" spans="1:3" ht="15">
      <c r="A20" s="114" t="s">
        <v>95</v>
      </c>
      <c r="B20" s="115"/>
      <c r="C20" s="116" t="s">
        <v>96</v>
      </c>
    </row>
    <row r="21" spans="1:3" ht="15">
      <c r="A21" s="100" t="s">
        <v>69</v>
      </c>
      <c r="B21" s="101"/>
      <c r="C21" s="102" t="s">
        <v>97</v>
      </c>
    </row>
    <row r="22" spans="1:3" ht="15">
      <c r="A22" s="114" t="s">
        <v>98</v>
      </c>
      <c r="B22" s="115"/>
      <c r="C22" s="116" t="s">
        <v>99</v>
      </c>
    </row>
    <row r="23" spans="1:3" ht="15">
      <c r="A23" s="147" t="s">
        <v>100</v>
      </c>
      <c r="B23" s="148"/>
      <c r="C23" s="149"/>
    </row>
    <row r="24" spans="1:3" ht="15">
      <c r="A24" s="114" t="s">
        <v>101</v>
      </c>
      <c r="B24" s="115"/>
      <c r="C24" s="117" t="s">
        <v>102</v>
      </c>
    </row>
    <row r="25" spans="1:3" ht="15">
      <c r="A25" s="94" t="s">
        <v>103</v>
      </c>
      <c r="B25" s="115"/>
      <c r="C25" s="118" t="s">
        <v>104</v>
      </c>
    </row>
    <row r="26" spans="1:3" ht="15">
      <c r="A26" s="114" t="s">
        <v>66</v>
      </c>
      <c r="B26" s="115"/>
      <c r="C26" s="119" t="s">
        <v>105</v>
      </c>
    </row>
    <row r="27" spans="1:3" ht="15">
      <c r="A27" s="109" t="s">
        <v>66</v>
      </c>
      <c r="B27" s="110"/>
      <c r="C27" s="120" t="s">
        <v>106</v>
      </c>
    </row>
    <row r="28" spans="1:3" ht="15">
      <c r="A28" s="114" t="s">
        <v>107</v>
      </c>
      <c r="B28" s="115"/>
      <c r="C28" s="117" t="s">
        <v>108</v>
      </c>
    </row>
    <row r="29" spans="1:3" ht="15">
      <c r="A29" s="94" t="s">
        <v>109</v>
      </c>
      <c r="B29" s="115"/>
      <c r="C29" s="118" t="s">
        <v>110</v>
      </c>
    </row>
    <row r="30" spans="1:3" ht="15">
      <c r="A30" s="121" t="s">
        <v>66</v>
      </c>
      <c r="B30" s="122"/>
      <c r="C30" s="119" t="s">
        <v>111</v>
      </c>
    </row>
    <row r="31" spans="1:3" ht="15">
      <c r="A31" s="109" t="s">
        <v>66</v>
      </c>
      <c r="B31" s="110"/>
      <c r="C31" s="120" t="s">
        <v>112</v>
      </c>
    </row>
  </sheetData>
  <mergeCells count="3">
    <mergeCell ref="A23:C23"/>
    <mergeCell ref="A19:C19"/>
    <mergeCell ref="A1:C1"/>
  </mergeCells>
  <hyperlinks>
    <hyperlink ref="C5" r:id="rId1" xr:uid="{A91E0D6C-2BA6-4438-AF07-61FEAF6586EB}"/>
    <hyperlink ref="C6" r:id="rId2" xr:uid="{79E4EC0B-5831-49A4-A3FF-58C9DA6F4923}"/>
    <hyperlink ref="C7" r:id="rId3" xr:uid="{E10688F8-C177-4C3E-BD16-C46DA05D7298}"/>
    <hyperlink ref="C8" r:id="rId4" xr:uid="{84614B73-CEE7-4CEE-8D6D-65A8CC69AFE1}"/>
    <hyperlink ref="C9" r:id="rId5" xr:uid="{6FA0AAB8-225A-4A41-AAB4-9EA89A3E841A}"/>
    <hyperlink ref="C13" r:id="rId6" xr:uid="{D665B260-EAD4-408C-89C7-5FE0D7D7BE9A}"/>
    <hyperlink ref="C15" r:id="rId7" xr:uid="{92766DD3-6136-43C3-AB49-4C9C47A37A85}"/>
    <hyperlink ref="C17" r:id="rId8" xr:uid="{27F4F0AA-FE49-4BC0-AC6A-8AE6B08D4EE6}"/>
  </hyperlink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ca4a80-3390-47e2-b911-47a947df16b7" xsi:nil="true"/>
    <lcf76f155ced4ddcb4097134ff3c332f xmlns="86137fea-04c9-4ec3-9f07-a3f8e8bdda6d">
      <Terms xmlns="http://schemas.microsoft.com/office/infopath/2007/PartnerControls"/>
    </lcf76f155ced4ddcb4097134ff3c332f>
    <tarih xmlns="86137fea-04c9-4ec3-9f07-a3f8e8bdda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9AD1B1170CB744841F2812FBF31EDE" ma:contentTypeVersion="17" ma:contentTypeDescription="Yeni belge oluşturun." ma:contentTypeScope="" ma:versionID="6679f16a0ef1d08f41e361fe9d2347f1">
  <xsd:schema xmlns:xsd="http://www.w3.org/2001/XMLSchema" xmlns:xs="http://www.w3.org/2001/XMLSchema" xmlns:p="http://schemas.microsoft.com/office/2006/metadata/properties" xmlns:ns2="86137fea-04c9-4ec3-9f07-a3f8e8bdda6d" xmlns:ns3="92ca4a80-3390-47e2-b911-47a947df16b7" targetNamespace="http://schemas.microsoft.com/office/2006/metadata/properties" ma:root="true" ma:fieldsID="361079e13525d3bcaac6c5cc5e352e6b" ns2:_="" ns3:_="">
    <xsd:import namespace="86137fea-04c9-4ec3-9f07-a3f8e8bdda6d"/>
    <xsd:import namespace="92ca4a80-3390-47e2-b911-47a947df1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arih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37fea-04c9-4ec3-9f07-a3f8e8bdd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2cb4adbf-a56f-4e22-8501-2c9267fac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rih" ma:index="23" nillable="true" ma:displayName="tarih" ma:format="Dropdown" ma:internalName="tarih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a4a80-3390-47e2-b911-47a947df16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bebcd5-985e-47ab-b75e-86b15ce4049d}" ma:internalName="TaxCatchAll" ma:showField="CatchAllData" ma:web="92ca4a80-3390-47e2-b911-47a947df1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0B2CC-3351-4576-8286-6408F1DEA9EA}"/>
</file>

<file path=customXml/itemProps2.xml><?xml version="1.0" encoding="utf-8"?>
<ds:datastoreItem xmlns:ds="http://schemas.openxmlformats.org/officeDocument/2006/customXml" ds:itemID="{E1ED3955-3378-4B20-A17E-66B29C5C1DCF}"/>
</file>

<file path=customXml/itemProps3.xml><?xml version="1.0" encoding="utf-8"?>
<ds:datastoreItem xmlns:ds="http://schemas.openxmlformats.org/officeDocument/2006/customXml" ds:itemID="{1A4F198A-9AF5-438D-B628-E85032AC9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Serapsu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İKBAL TOKTAŞ</dc:creator>
  <cp:keywords/>
  <dc:description/>
  <cp:lastModifiedBy>Melis Körezlioğlu Karlı</cp:lastModifiedBy>
  <cp:revision/>
  <dcterms:created xsi:type="dcterms:W3CDTF">1999-11-26T09:25:49Z</dcterms:created>
  <dcterms:modified xsi:type="dcterms:W3CDTF">2025-12-08T14:40:52Z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0x010100069AD1B1170CB744841F2812FBF31EDE</vt:lpwstr>
  </property>
  <property fmtid="{D5CDD505-2E9C-101B-9397-08002B2CF9AE}" pid="5" name="MediaServiceImageTags">
    <vt:lpwstr/>
  </property>
</Properties>
</file>
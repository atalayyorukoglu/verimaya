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LISKARLI\Downloads\"/>
    </mc:Choice>
  </mc:AlternateContent>
  <xr:revisionPtr revIDLastSave="64" documentId="11_B39C9808F693DDCD8428DBA3D56304DCF874E505" xr6:coauthVersionLast="47" xr6:coauthVersionMax="47" xr10:uidLastSave="{EEE4228B-3445-4703-9FDB-2EE9829CDE96}"/>
  <bookViews>
    <workbookView xWindow="0" yWindow="0" windowWidth="23040" windowHeight="8652" tabRatio="811" xr2:uid="{00000000-000D-0000-FFFF-FFFF00000000}"/>
  </bookViews>
  <sheets>
    <sheet name="GRAND PARK LARA" sheetId="13" r:id="rId1"/>
  </sheets>
  <definedNames>
    <definedName name="_xlnm.Print_Area" localSheetId="0">'GRAND PARK LARA'!$A$1:$E$61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3" l="1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6" i="13"/>
  <c r="D25" i="13"/>
  <c r="D24" i="13"/>
  <c r="D23" i="13"/>
  <c r="D22" i="13"/>
  <c r="D21" i="13"/>
  <c r="D20" i="13"/>
  <c r="D19" i="13"/>
  <c r="D18" i="13"/>
  <c r="D17" i="13"/>
  <c r="D16" i="13"/>
  <c r="D14" i="13"/>
  <c r="D13" i="13"/>
  <c r="D12" i="13"/>
  <c r="D11" i="13"/>
  <c r="D10" i="13"/>
  <c r="D9" i="13"/>
  <c r="C22" i="13"/>
  <c r="C19" i="13"/>
  <c r="C11" i="13"/>
  <c r="C10" i="13"/>
  <c r="C23" i="13" l="1"/>
  <c r="C24" i="13"/>
  <c r="C25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16" i="13"/>
  <c r="C17" i="13"/>
  <c r="C18" i="13"/>
  <c r="C26" i="13"/>
  <c r="C14" i="13"/>
  <c r="C20" i="13"/>
  <c r="C21" i="13"/>
  <c r="C9" i="13"/>
  <c r="C12" i="13"/>
  <c r="C13" i="13"/>
</calcChain>
</file>

<file path=xl/sharedStrings.xml><?xml version="1.0" encoding="utf-8"?>
<sst xmlns="http://schemas.openxmlformats.org/spreadsheetml/2006/main" count="57" uniqueCount="48">
  <si>
    <t xml:space="preserve">                                     GRAND PARK LARA - 4+*</t>
  </si>
  <si>
    <t>2025 YAZ - SAĞLIK TURIZMI EURO FİYATLARI</t>
  </si>
  <si>
    <t>ULTRA ALL INCLUSIVE</t>
  </si>
  <si>
    <t>ÇARPAN</t>
  </si>
  <si>
    <r>
      <rPr>
        <b/>
        <sz val="9"/>
        <color rgb="FF000000"/>
        <rFont val="Calibri"/>
        <scheme val="minor"/>
      </rPr>
      <t>01/10/2025 -</t>
    </r>
    <r>
      <rPr>
        <b/>
        <sz val="9"/>
        <color rgb="FFFF0000"/>
        <rFont val="Calibri"/>
        <scheme val="minor"/>
      </rPr>
      <t xml:space="preserve"> </t>
    </r>
    <r>
      <rPr>
        <b/>
        <u val="double"/>
        <sz val="9"/>
        <color rgb="FFFF0000"/>
        <rFont val="Calibri"/>
        <scheme val="minor"/>
      </rPr>
      <t>25/10/2025</t>
    </r>
  </si>
  <si>
    <r>
      <rPr>
        <b/>
        <u val="double"/>
        <sz val="9"/>
        <color rgb="FFFF0000"/>
        <rFont val="Calibri"/>
        <scheme val="minor"/>
      </rPr>
      <t>26/10/2025</t>
    </r>
    <r>
      <rPr>
        <b/>
        <sz val="9"/>
        <color rgb="FF000000"/>
        <rFont val="Calibri"/>
        <scheme val="minor"/>
      </rPr>
      <t xml:space="preserve"> - 31/10/2025</t>
    </r>
  </si>
  <si>
    <r>
      <t xml:space="preserve">STANDART ROOM / P.P. (R.O.H.)                </t>
    </r>
    <r>
      <rPr>
        <b/>
        <sz val="10"/>
        <color indexed="60"/>
        <rFont val="Calibri"/>
        <family val="2"/>
        <charset val="162"/>
      </rPr>
      <t xml:space="preserve">    </t>
    </r>
  </si>
  <si>
    <t>Min. 1,  Max. 2+1 (inf. dahil)</t>
  </si>
  <si>
    <t>DBL</t>
  </si>
  <si>
    <t>SNG</t>
  </si>
  <si>
    <t>1 ADL + 1 CHD (02-12,99)</t>
  </si>
  <si>
    <t>1 ADL + 2 CHD (02-12,99 + 02-12,99)</t>
  </si>
  <si>
    <t>2 ADL + 1 CHD (02-12,99)</t>
  </si>
  <si>
    <t xml:space="preserve">FAMILY DELUXE / P.P. (R.O.H.)                           </t>
  </si>
  <si>
    <t>Min. 1, Max. 3+1 / 4 (inf. dahil)</t>
  </si>
  <si>
    <t>1 ADULT</t>
  </si>
  <si>
    <t>Min. 2 öder</t>
  </si>
  <si>
    <t>2 Yatak Odası</t>
  </si>
  <si>
    <t>1 ADL + 3 CHD (02-12,99 + 02-12,99 + 02-12,99)</t>
  </si>
  <si>
    <t>2 ADULT</t>
  </si>
  <si>
    <t>2 ADL + 2 CHD (02-12,99 + 02-12,99)</t>
  </si>
  <si>
    <t>3 ADULT</t>
  </si>
  <si>
    <t>3 ADL + 1 CHD (02-12,99)</t>
  </si>
  <si>
    <t>4 ADULT</t>
  </si>
  <si>
    <t xml:space="preserve">FAMILY ELITE / P.P. (R.O.H.)                           </t>
  </si>
  <si>
    <t>Min. 2, Max. 5+1 / 6 (inf. dahil)</t>
  </si>
  <si>
    <t>Min. 2  öder</t>
  </si>
  <si>
    <t xml:space="preserve">2 Yatak Odası + 1 Salon </t>
  </si>
  <si>
    <t>2 ADL + 3 CHD (02-12,99 + 02-12,99 + 02-12,99)</t>
  </si>
  <si>
    <t>2 ADL + 4 CHD (02-12,99 + 02-12,99 + 02-12,99 + 02-12,99)</t>
  </si>
  <si>
    <t>3 ADL + 2 CHD (02-12,99 + 02-12,99)</t>
  </si>
  <si>
    <t>3 ADL + 3 CHD (02-12,99 + 02-12,99 + 02-12,99)</t>
  </si>
  <si>
    <t>4 ADL + 1 CHD (02-12,99)</t>
  </si>
  <si>
    <t>4 ADL + 2 CHD (02-12,99 + 02-12,99)</t>
  </si>
  <si>
    <t>5 ADULT</t>
  </si>
  <si>
    <t>5 ADL + 1 CHD (02-12,99)</t>
  </si>
  <si>
    <t>6 ADULT</t>
  </si>
  <si>
    <t>Release Day</t>
  </si>
  <si>
    <t>Min. Stay</t>
  </si>
  <si>
    <t>Tabloda belirtilen fiyatlar, hiçbir şekilde son kullanıcı erişimine açık olan online satış platformlarına, Metasearch kanallarına, 3.parti satıcılara ve yatak bankalarına kullandırılamaz.</t>
  </si>
  <si>
    <t>ULTRA ALL INCLUSIVE - EURO // SOR-SAT Fiyat Teklifimiz ekte bilgilerinize sunulmuştur.</t>
  </si>
  <si>
    <t>· Ekteki fiyat tablosunda belirtilen fiyatlarımıza KDV ve diğer tüm vergiler dahildir.</t>
  </si>
  <si>
    <t>· Faturalamada giriş günü T.C.M.B Döviz Alış kuru esastır.</t>
  </si>
  <si>
    <t>· Rezervasyon öncesi müsaitlik sorulmasını rica ederiz.</t>
  </si>
  <si>
    <t>· İş bu form ile topladığımız verileriniz Şirketimiz web sitesinde yer alan Aydınlatma Beyanı çerçevesinde toplanıp işlenmektedir.</t>
  </si>
  <si>
    <t xml:space="preserve"> Detay bilgi ve haklarınıza aşağıdaki linkten ulaşabilirsiniz.</t>
  </si>
  <si>
    <t xml:space="preserve">   https://www.corendonhotels.com/corendon-hotels/kurumsal/genel-aydinlatma-beyani</t>
  </si>
  <si>
    <t>Hotellerimizde Misafirlerinizi ağırlamaktan mutluluk duyacağımızı belirtir, iyi iş birliğimizin artarak devamını temenni ederiz.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</si>
</sst>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[$€-407]"/>
    <numFmt numFmtId="165" formatCode="#,##0.00\ [$€-407]"/>
  </numFmts>
  <fonts count="31">
    <font>
      <sz val="10"/>
      <name val="Arial Tur"/>
      <charset val="162"/>
    </font>
    <font>
      <sz val="8"/>
      <name val="Arial Tur"/>
      <charset val="162"/>
    </font>
    <font>
      <sz val="11"/>
      <color indexed="8"/>
      <name val="Calibri"/>
      <family val="2"/>
      <charset val="162"/>
    </font>
    <font>
      <sz val="10"/>
      <name val="Helv"/>
      <charset val="204"/>
    </font>
    <font>
      <b/>
      <sz val="10"/>
      <color indexed="60"/>
      <name val="Calibri"/>
      <family val="2"/>
      <charset val="162"/>
    </font>
    <font>
      <sz val="10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0"/>
      <color rgb="FFC00000"/>
      <name val="Calibri"/>
      <family val="2"/>
      <charset val="162"/>
      <scheme val="minor"/>
    </font>
    <font>
      <b/>
      <sz val="9"/>
      <color indexed="8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1"/>
      <color rgb="FFC00000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0070C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u/>
      <sz val="11"/>
      <color rgb="FFC00000"/>
      <name val="Calibri"/>
      <family val="2"/>
      <charset val="162"/>
      <scheme val="minor"/>
    </font>
    <font>
      <b/>
      <sz val="9"/>
      <color theme="4" tint="-0.249977111117893"/>
      <name val="Calibri"/>
      <family val="2"/>
      <charset val="162"/>
      <scheme val="minor"/>
    </font>
    <font>
      <u/>
      <sz val="10"/>
      <color theme="10"/>
      <name val="Arial Tur"/>
      <charset val="162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sz val="9"/>
      <color rgb="FF000000"/>
      <name val="Calibri"/>
      <scheme val="minor"/>
    </font>
    <font>
      <b/>
      <sz val="9"/>
      <color rgb="FFFF0000"/>
      <name val="Calibri"/>
      <scheme val="minor"/>
    </font>
    <font>
      <b/>
      <sz val="9"/>
      <name val="Calibri"/>
      <scheme val="minor"/>
    </font>
    <font>
      <b/>
      <u val="double"/>
      <sz val="9"/>
      <color rgb="FFFF0000"/>
      <name val="Calibri"/>
      <scheme val="minor"/>
    </font>
    <font>
      <b/>
      <sz val="9"/>
      <color theme="0"/>
      <name val="Calibri"/>
      <family val="2"/>
      <charset val="162"/>
      <scheme val="minor"/>
    </font>
    <font>
      <sz val="9"/>
      <color theme="0"/>
      <name val="Calibri"/>
      <family val="2"/>
      <charset val="162"/>
      <scheme val="minor"/>
    </font>
    <font>
      <sz val="10"/>
      <color theme="0"/>
      <name val="Arial Tur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20" fillId="0" borderId="0" applyNumberFormat="0" applyFill="0" applyBorder="0" applyAlignment="0" applyProtection="0"/>
  </cellStyleXfs>
  <cellXfs count="127">
    <xf numFmtId="0" fontId="0" fillId="0" borderId="0" xfId="0"/>
    <xf numFmtId="0" fontId="6" fillId="2" borderId="0" xfId="0" applyFont="1" applyFill="1" applyAlignment="1">
      <alignment horizontal="right"/>
    </xf>
    <xf numFmtId="0" fontId="5" fillId="2" borderId="0" xfId="0" applyFont="1" applyFill="1"/>
    <xf numFmtId="0" fontId="7" fillId="2" borderId="5" xfId="0" applyFont="1" applyFill="1" applyBorder="1" applyAlignment="1">
      <alignment horizontal="center"/>
    </xf>
    <xf numFmtId="0" fontId="8" fillId="2" borderId="0" xfId="0" applyFont="1" applyFill="1"/>
    <xf numFmtId="0" fontId="9" fillId="4" borderId="13" xfId="1" applyFont="1" applyFill="1" applyBorder="1"/>
    <xf numFmtId="0" fontId="10" fillId="2" borderId="2" xfId="1" applyFont="1" applyFill="1" applyBorder="1"/>
    <xf numFmtId="0" fontId="7" fillId="2" borderId="15" xfId="1" applyFont="1" applyFill="1" applyBorder="1"/>
    <xf numFmtId="0" fontId="7" fillId="2" borderId="3" xfId="0" applyFont="1" applyFill="1" applyBorder="1"/>
    <xf numFmtId="0" fontId="7" fillId="2" borderId="16" xfId="0" applyFont="1" applyFill="1" applyBorder="1"/>
    <xf numFmtId="0" fontId="7" fillId="2" borderId="9" xfId="0" applyFont="1" applyFill="1" applyBorder="1"/>
    <xf numFmtId="0" fontId="7" fillId="2" borderId="6" xfId="0" applyFont="1" applyFill="1" applyBorder="1"/>
    <xf numFmtId="0" fontId="7" fillId="2" borderId="17" xfId="0" applyFont="1" applyFill="1" applyBorder="1"/>
    <xf numFmtId="0" fontId="7" fillId="2" borderId="18" xfId="0" applyFont="1" applyFill="1" applyBorder="1"/>
    <xf numFmtId="0" fontId="7" fillId="2" borderId="19" xfId="0" applyFont="1" applyFill="1" applyBorder="1"/>
    <xf numFmtId="0" fontId="7" fillId="2" borderId="20" xfId="0" applyFont="1" applyFill="1" applyBorder="1"/>
    <xf numFmtId="0" fontId="7" fillId="2" borderId="21" xfId="0" applyFont="1" applyFill="1" applyBorder="1"/>
    <xf numFmtId="0" fontId="7" fillId="3" borderId="18" xfId="0" applyFont="1" applyFill="1" applyBorder="1"/>
    <xf numFmtId="0" fontId="7" fillId="3" borderId="20" xfId="0" applyFont="1" applyFill="1" applyBorder="1"/>
    <xf numFmtId="0" fontId="7" fillId="3" borderId="19" xfId="0" applyFont="1" applyFill="1" applyBorder="1"/>
    <xf numFmtId="0" fontId="7" fillId="2" borderId="17" xfId="0" applyFont="1" applyFill="1" applyBorder="1" applyAlignment="1">
      <alignment horizontal="left"/>
    </xf>
    <xf numFmtId="0" fontId="7" fillId="2" borderId="13" xfId="0" applyFont="1" applyFill="1" applyBorder="1" applyAlignment="1">
      <alignment horizontal="left"/>
    </xf>
    <xf numFmtId="0" fontId="7" fillId="2" borderId="2" xfId="0" applyFont="1" applyFill="1" applyBorder="1"/>
    <xf numFmtId="0" fontId="7" fillId="2" borderId="11" xfId="0" applyFont="1" applyFill="1" applyBorder="1"/>
    <xf numFmtId="0" fontId="11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12" fillId="3" borderId="0" xfId="1" applyFont="1" applyFill="1" applyAlignment="1">
      <alignment horizontal="left" vertical="center"/>
    </xf>
    <xf numFmtId="0" fontId="7" fillId="3" borderId="2" xfId="0" applyFont="1" applyFill="1" applyBorder="1"/>
    <xf numFmtId="0" fontId="7" fillId="3" borderId="11" xfId="0" applyFont="1" applyFill="1" applyBorder="1"/>
    <xf numFmtId="0" fontId="7" fillId="3" borderId="17" xfId="0" applyFont="1" applyFill="1" applyBorder="1" applyAlignment="1">
      <alignment horizontal="left"/>
    </xf>
    <xf numFmtId="0" fontId="7" fillId="2" borderId="0" xfId="0" applyFont="1" applyFill="1"/>
    <xf numFmtId="0" fontId="7" fillId="3" borderId="9" xfId="0" applyFont="1" applyFill="1" applyBorder="1"/>
    <xf numFmtId="0" fontId="7" fillId="2" borderId="0" xfId="0" applyFont="1" applyFill="1" applyAlignment="1">
      <alignment horizontal="left"/>
    </xf>
    <xf numFmtId="0" fontId="7" fillId="3" borderId="0" xfId="0" applyFont="1" applyFill="1"/>
    <xf numFmtId="0" fontId="13" fillId="3" borderId="0" xfId="0" applyFont="1" applyFill="1"/>
    <xf numFmtId="0" fontId="14" fillId="3" borderId="3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14" fillId="3" borderId="17" xfId="1" applyFont="1" applyFill="1" applyBorder="1" applyAlignment="1">
      <alignment horizontal="center" vertical="center"/>
    </xf>
    <xf numFmtId="0" fontId="14" fillId="3" borderId="18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14" fillId="3" borderId="4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/>
    </xf>
    <xf numFmtId="165" fontId="10" fillId="2" borderId="10" xfId="1" applyNumberFormat="1" applyFont="1" applyFill="1" applyBorder="1" applyAlignment="1">
      <alignment horizontal="center"/>
    </xf>
    <xf numFmtId="165" fontId="14" fillId="3" borderId="23" xfId="1" applyNumberFormat="1" applyFont="1" applyFill="1" applyBorder="1" applyAlignment="1">
      <alignment horizontal="center"/>
    </xf>
    <xf numFmtId="165" fontId="14" fillId="3" borderId="8" xfId="1" applyNumberFormat="1" applyFont="1" applyFill="1" applyBorder="1" applyAlignment="1">
      <alignment horizontal="center"/>
    </xf>
    <xf numFmtId="165" fontId="14" fillId="3" borderId="24" xfId="1" applyNumberFormat="1" applyFont="1" applyFill="1" applyBorder="1" applyAlignment="1">
      <alignment horizontal="center"/>
    </xf>
    <xf numFmtId="165" fontId="7" fillId="2" borderId="12" xfId="1" applyNumberFormat="1" applyFont="1" applyFill="1" applyBorder="1" applyAlignment="1">
      <alignment horizontal="center"/>
    </xf>
    <xf numFmtId="165" fontId="14" fillId="3" borderId="14" xfId="0" applyNumberFormat="1" applyFont="1" applyFill="1" applyBorder="1" applyAlignment="1">
      <alignment horizontal="center"/>
    </xf>
    <xf numFmtId="165" fontId="14" fillId="3" borderId="7" xfId="0" applyNumberFormat="1" applyFont="1" applyFill="1" applyBorder="1" applyAlignment="1">
      <alignment horizontal="center"/>
    </xf>
    <xf numFmtId="165" fontId="14" fillId="3" borderId="25" xfId="0" applyNumberFormat="1" applyFont="1" applyFill="1" applyBorder="1" applyAlignment="1">
      <alignment horizontal="center"/>
    </xf>
    <xf numFmtId="165" fontId="7" fillId="3" borderId="7" xfId="0" applyNumberFormat="1" applyFont="1" applyFill="1" applyBorder="1" applyAlignment="1">
      <alignment horizontal="center"/>
    </xf>
    <xf numFmtId="165" fontId="7" fillId="3" borderId="8" xfId="0" applyNumberFormat="1" applyFont="1" applyFill="1" applyBorder="1" applyAlignment="1">
      <alignment horizontal="center"/>
    </xf>
    <xf numFmtId="165" fontId="7" fillId="3" borderId="23" xfId="0" applyNumberFormat="1" applyFont="1" applyFill="1" applyBorder="1" applyAlignment="1">
      <alignment horizontal="center"/>
    </xf>
    <xf numFmtId="165" fontId="7" fillId="3" borderId="12" xfId="0" applyNumberFormat="1" applyFont="1" applyFill="1" applyBorder="1" applyAlignment="1">
      <alignment horizontal="center"/>
    </xf>
    <xf numFmtId="165" fontId="7" fillId="3" borderId="14" xfId="0" applyNumberFormat="1" applyFont="1" applyFill="1" applyBorder="1" applyAlignment="1">
      <alignment horizontal="center"/>
    </xf>
    <xf numFmtId="165" fontId="7" fillId="2" borderId="7" xfId="0" applyNumberFormat="1" applyFont="1" applyFill="1" applyBorder="1" applyAlignment="1">
      <alignment horizontal="center"/>
    </xf>
    <xf numFmtId="165" fontId="7" fillId="2" borderId="14" xfId="0" applyNumberFormat="1" applyFont="1" applyFill="1" applyBorder="1" applyAlignment="1">
      <alignment horizontal="center"/>
    </xf>
    <xf numFmtId="165" fontId="7" fillId="2" borderId="12" xfId="0" applyNumberFormat="1" applyFont="1" applyFill="1" applyBorder="1" applyAlignment="1">
      <alignment horizontal="center"/>
    </xf>
    <xf numFmtId="0" fontId="9" fillId="4" borderId="25" xfId="1" applyFont="1" applyFill="1" applyBorder="1" applyAlignment="1">
      <alignment vertical="center"/>
    </xf>
    <xf numFmtId="164" fontId="9" fillId="4" borderId="5" xfId="2" applyNumberFormat="1" applyFont="1" applyFill="1" applyBorder="1" applyAlignment="1">
      <alignment horizontal="center" vertical="center"/>
    </xf>
    <xf numFmtId="165" fontId="19" fillId="5" borderId="4" xfId="0" applyNumberFormat="1" applyFont="1" applyFill="1" applyBorder="1" applyAlignment="1">
      <alignment horizontal="center"/>
    </xf>
    <xf numFmtId="165" fontId="19" fillId="5" borderId="14" xfId="0" applyNumberFormat="1" applyFont="1" applyFill="1" applyBorder="1" applyAlignment="1">
      <alignment horizontal="center"/>
    </xf>
    <xf numFmtId="0" fontId="22" fillId="0" borderId="0" xfId="0" applyFont="1"/>
    <xf numFmtId="14" fontId="5" fillId="2" borderId="0" xfId="0" applyNumberFormat="1" applyFont="1" applyFill="1"/>
    <xf numFmtId="0" fontId="21" fillId="6" borderId="0" xfId="0" applyFont="1" applyFill="1" applyAlignment="1">
      <alignment horizontal="left"/>
    </xf>
    <xf numFmtId="0" fontId="12" fillId="6" borderId="0" xfId="0" applyFont="1" applyFill="1" applyAlignment="1">
      <alignment horizontal="left"/>
    </xf>
    <xf numFmtId="0" fontId="21" fillId="6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26" fillId="3" borderId="28" xfId="0" applyFont="1" applyFill="1" applyBorder="1" applyAlignment="1">
      <alignment horizontal="center"/>
    </xf>
    <xf numFmtId="0" fontId="7" fillId="3" borderId="29" xfId="0" applyFont="1" applyFill="1" applyBorder="1" applyAlignment="1">
      <alignment horizontal="center"/>
    </xf>
    <xf numFmtId="0" fontId="7" fillId="3" borderId="30" xfId="0" applyFont="1" applyFill="1" applyBorder="1" applyAlignment="1">
      <alignment horizontal="center"/>
    </xf>
    <xf numFmtId="0" fontId="26" fillId="3" borderId="31" xfId="0" applyFont="1" applyFill="1" applyBorder="1" applyAlignment="1">
      <alignment horizontal="center"/>
    </xf>
    <xf numFmtId="0" fontId="7" fillId="3" borderId="32" xfId="0" applyFont="1" applyFill="1" applyBorder="1" applyAlignment="1">
      <alignment horizontal="center"/>
    </xf>
    <xf numFmtId="0" fontId="22" fillId="0" borderId="0" xfId="0" applyFont="1" applyAlignment="1">
      <alignment horizontal="left"/>
    </xf>
    <xf numFmtId="0" fontId="23" fillId="6" borderId="0" xfId="3" applyFont="1" applyFill="1" applyAlignment="1"/>
    <xf numFmtId="165" fontId="7" fillId="3" borderId="6" xfId="0" applyNumberFormat="1" applyFont="1" applyFill="1" applyBorder="1" applyAlignment="1">
      <alignment horizontal="center"/>
    </xf>
    <xf numFmtId="165" fontId="7" fillId="3" borderId="3" xfId="0" applyNumberFormat="1" applyFont="1" applyFill="1" applyBorder="1" applyAlignment="1">
      <alignment horizontal="center"/>
    </xf>
    <xf numFmtId="0" fontId="7" fillId="3" borderId="18" xfId="1" applyFont="1" applyFill="1" applyBorder="1" applyAlignment="1">
      <alignment horizontal="center" vertical="center"/>
    </xf>
    <xf numFmtId="165" fontId="19" fillId="3" borderId="4" xfId="0" applyNumberFormat="1" applyFont="1" applyFill="1" applyBorder="1" applyAlignment="1">
      <alignment horizontal="center"/>
    </xf>
    <xf numFmtId="165" fontId="7" fillId="3" borderId="24" xfId="0" applyNumberFormat="1" applyFont="1" applyFill="1" applyBorder="1" applyAlignment="1">
      <alignment horizontal="center"/>
    </xf>
    <xf numFmtId="165" fontId="19" fillId="3" borderId="14" xfId="0" applyNumberFormat="1" applyFont="1" applyFill="1" applyBorder="1" applyAlignment="1">
      <alignment horizontal="center"/>
    </xf>
    <xf numFmtId="0" fontId="14" fillId="3" borderId="6" xfId="1" applyFont="1" applyFill="1" applyBorder="1" applyAlignment="1">
      <alignment horizontal="center" vertical="center"/>
    </xf>
    <xf numFmtId="0" fontId="14" fillId="3" borderId="5" xfId="1" applyFont="1" applyFill="1" applyBorder="1" applyAlignment="1">
      <alignment horizontal="center" vertical="center"/>
    </xf>
    <xf numFmtId="164" fontId="9" fillId="5" borderId="5" xfId="2" applyNumberFormat="1" applyFont="1" applyFill="1" applyBorder="1" applyAlignment="1">
      <alignment horizontal="center" vertical="center"/>
    </xf>
    <xf numFmtId="165" fontId="10" fillId="5" borderId="10" xfId="1" applyNumberFormat="1" applyFont="1" applyFill="1" applyBorder="1" applyAlignment="1">
      <alignment horizontal="center"/>
    </xf>
    <xf numFmtId="165" fontId="14" fillId="5" borderId="23" xfId="1" applyNumberFormat="1" applyFont="1" applyFill="1" applyBorder="1" applyAlignment="1">
      <alignment horizontal="center"/>
    </xf>
    <xf numFmtId="165" fontId="14" fillId="5" borderId="8" xfId="1" applyNumberFormat="1" applyFont="1" applyFill="1" applyBorder="1" applyAlignment="1">
      <alignment horizontal="center"/>
    </xf>
    <xf numFmtId="165" fontId="14" fillId="5" borderId="24" xfId="1" applyNumberFormat="1" applyFont="1" applyFill="1" applyBorder="1" applyAlignment="1">
      <alignment horizontal="center"/>
    </xf>
    <xf numFmtId="165" fontId="7" fillId="5" borderId="12" xfId="1" applyNumberFormat="1" applyFont="1" applyFill="1" applyBorder="1" applyAlignment="1">
      <alignment horizontal="center"/>
    </xf>
    <xf numFmtId="165" fontId="7" fillId="5" borderId="6" xfId="0" applyNumberFormat="1" applyFont="1" applyFill="1" applyBorder="1" applyAlignment="1">
      <alignment horizontal="center"/>
    </xf>
    <xf numFmtId="165" fontId="7" fillId="5" borderId="3" xfId="0" applyNumberFormat="1" applyFont="1" applyFill="1" applyBorder="1" applyAlignment="1">
      <alignment horizontal="center"/>
    </xf>
    <xf numFmtId="165" fontId="7" fillId="5" borderId="24" xfId="0" applyNumberFormat="1" applyFont="1" applyFill="1" applyBorder="1" applyAlignment="1">
      <alignment horizontal="center"/>
    </xf>
    <xf numFmtId="165" fontId="7" fillId="5" borderId="8" xfId="0" applyNumberFormat="1" applyFont="1" applyFill="1" applyBorder="1" applyAlignment="1">
      <alignment horizontal="center"/>
    </xf>
    <xf numFmtId="165" fontId="14" fillId="5" borderId="7" xfId="0" applyNumberFormat="1" applyFont="1" applyFill="1" applyBorder="1" applyAlignment="1">
      <alignment horizontal="center"/>
    </xf>
    <xf numFmtId="165" fontId="14" fillId="5" borderId="14" xfId="0" applyNumberFormat="1" applyFont="1" applyFill="1" applyBorder="1" applyAlignment="1">
      <alignment horizontal="center"/>
    </xf>
    <xf numFmtId="165" fontId="14" fillId="5" borderId="25" xfId="0" applyNumberFormat="1" applyFont="1" applyFill="1" applyBorder="1" applyAlignment="1">
      <alignment horizontal="center"/>
    </xf>
    <xf numFmtId="165" fontId="7" fillId="5" borderId="7" xfId="0" applyNumberFormat="1" applyFont="1" applyFill="1" applyBorder="1" applyAlignment="1">
      <alignment horizontal="center"/>
    </xf>
    <xf numFmtId="165" fontId="7" fillId="5" borderId="23" xfId="0" applyNumberFormat="1" applyFont="1" applyFill="1" applyBorder="1" applyAlignment="1">
      <alignment horizontal="center"/>
    </xf>
    <xf numFmtId="165" fontId="7" fillId="5" borderId="12" xfId="0" applyNumberFormat="1" applyFont="1" applyFill="1" applyBorder="1" applyAlignment="1">
      <alignment horizontal="center"/>
    </xf>
    <xf numFmtId="165" fontId="7" fillId="5" borderId="14" xfId="0" applyNumberFormat="1" applyFont="1" applyFill="1" applyBorder="1" applyAlignment="1">
      <alignment horizontal="center"/>
    </xf>
    <xf numFmtId="0" fontId="28" fillId="3" borderId="0" xfId="0" applyFont="1" applyFill="1"/>
    <xf numFmtId="164" fontId="28" fillId="3" borderId="0" xfId="2" applyNumberFormat="1" applyFont="1" applyFill="1" applyAlignment="1">
      <alignment horizontal="center"/>
    </xf>
    <xf numFmtId="0" fontId="29" fillId="3" borderId="0" xfId="0" applyFont="1" applyFill="1"/>
    <xf numFmtId="0" fontId="30" fillId="3" borderId="0" xfId="0" applyFont="1" applyFill="1"/>
    <xf numFmtId="0" fontId="21" fillId="6" borderId="0" xfId="0" applyFont="1" applyFill="1" applyAlignment="1">
      <alignment horizontal="left"/>
    </xf>
    <xf numFmtId="0" fontId="12" fillId="6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18" fillId="3" borderId="2" xfId="1" applyFont="1" applyFill="1" applyBorder="1" applyAlignment="1">
      <alignment horizontal="left" vertical="center"/>
    </xf>
    <xf numFmtId="0" fontId="12" fillId="3" borderId="11" xfId="1" applyFont="1" applyFill="1" applyBorder="1" applyAlignment="1">
      <alignment horizontal="left" vertical="center"/>
    </xf>
    <xf numFmtId="0" fontId="12" fillId="3" borderId="9" xfId="1" applyFont="1" applyFill="1" applyBorder="1" applyAlignment="1">
      <alignment horizontal="left" vertical="center"/>
    </xf>
    <xf numFmtId="0" fontId="16" fillId="2" borderId="0" xfId="0" applyFont="1" applyFill="1" applyAlignment="1">
      <alignment horizontal="center"/>
    </xf>
    <xf numFmtId="0" fontId="7" fillId="3" borderId="13" xfId="0" applyFont="1" applyFill="1" applyBorder="1" applyAlignment="1">
      <alignment horizontal="left"/>
    </xf>
    <xf numFmtId="0" fontId="7" fillId="3" borderId="25" xfId="0" applyFont="1" applyFill="1" applyBorder="1" applyAlignment="1">
      <alignment horizontal="left"/>
    </xf>
    <xf numFmtId="0" fontId="17" fillId="2" borderId="26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9" fillId="4" borderId="13" xfId="1" applyFont="1" applyFill="1" applyBorder="1" applyAlignment="1">
      <alignment horizontal="left" vertical="center"/>
    </xf>
    <xf numFmtId="0" fontId="9" fillId="4" borderId="25" xfId="1" applyFont="1" applyFill="1" applyBorder="1" applyAlignment="1">
      <alignment horizontal="left" vertical="center"/>
    </xf>
    <xf numFmtId="0" fontId="15" fillId="3" borderId="20" xfId="0" quotePrefix="1" applyFont="1" applyFill="1" applyBorder="1" applyAlignment="1">
      <alignment horizontal="center"/>
    </xf>
    <xf numFmtId="0" fontId="15" fillId="3" borderId="22" xfId="0" quotePrefix="1" applyFont="1" applyFill="1" applyBorder="1" applyAlignment="1">
      <alignment horizontal="center"/>
    </xf>
    <xf numFmtId="0" fontId="15" fillId="3" borderId="12" xfId="0" quotePrefix="1" applyFont="1" applyFill="1" applyBorder="1" applyAlignment="1">
      <alignment horizontal="center"/>
    </xf>
  </cellXfs>
  <cellStyles count="4">
    <cellStyle name="Köprü" xfId="3" builtinId="8"/>
    <cellStyle name="Normal" xfId="0" builtinId="0"/>
    <cellStyle name="Normal_Sayfa1" xfId="1" xr:uid="{00000000-0005-0000-0000-000002000000}"/>
    <cellStyle name="Normal_SERA EURO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47625</xdr:rowOff>
    </xdr:from>
    <xdr:to>
      <xdr:col>4</xdr:col>
      <xdr:colOff>1952625</xdr:colOff>
      <xdr:row>1</xdr:row>
      <xdr:rowOff>123825</xdr:rowOff>
    </xdr:to>
    <xdr:pic>
      <xdr:nvPicPr>
        <xdr:cNvPr id="3651" name="Resim 2">
          <a:extLst>
            <a:ext uri="{FF2B5EF4-FFF2-40B4-BE49-F238E27FC236}">
              <a16:creationId xmlns:a16="http://schemas.microsoft.com/office/drawing/2014/main" id="{C879616F-618D-E438-6418-AC9EF4401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7700" y="47625"/>
          <a:ext cx="19526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238125</xdr:rowOff>
    </xdr:from>
    <xdr:to>
      <xdr:col>0</xdr:col>
      <xdr:colOff>1847850</xdr:colOff>
      <xdr:row>1</xdr:row>
      <xdr:rowOff>133350</xdr:rowOff>
    </xdr:to>
    <xdr:pic>
      <xdr:nvPicPr>
        <xdr:cNvPr id="3652" name="Resim 1">
          <a:extLst>
            <a:ext uri="{FF2B5EF4-FFF2-40B4-BE49-F238E27FC236}">
              <a16:creationId xmlns:a16="http://schemas.microsoft.com/office/drawing/2014/main" id="{D60EC148-9A7B-912C-DD78-4536FE9F1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38125"/>
          <a:ext cx="17145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orendonhotels.com.tr/corendon-hotels/kurumsal/genel-aydinlatma-beya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50" zoomScaleNormal="100" workbookViewId="0">
      <selection activeCell="I15" sqref="I15"/>
    </sheetView>
  </sheetViews>
  <sheetFormatPr defaultRowHeight="12.75" customHeight="1"/>
  <cols>
    <col min="1" max="1" width="44.140625" customWidth="1"/>
    <col min="2" max="2" width="6.7109375" customWidth="1"/>
    <col min="3" max="4" width="22.7109375" customWidth="1"/>
    <col min="5" max="5" width="31.85546875" customWidth="1"/>
  </cols>
  <sheetData>
    <row r="1" spans="1:5" ht="42.6" customHeight="1">
      <c r="A1" s="112" t="s">
        <v>0</v>
      </c>
      <c r="B1" s="112"/>
      <c r="C1" s="112"/>
      <c r="D1" s="72"/>
      <c r="E1" s="1"/>
    </row>
    <row r="2" spans="1:5" ht="20.45" customHeight="1">
      <c r="A2" s="116" t="s">
        <v>1</v>
      </c>
      <c r="B2" s="116"/>
      <c r="C2" s="116"/>
      <c r="D2" s="116"/>
      <c r="E2" s="116"/>
    </row>
    <row r="3" spans="1:5" ht="22.15" customHeight="1">
      <c r="A3" s="2"/>
      <c r="B3" s="2"/>
      <c r="C3" s="2"/>
      <c r="D3" s="2"/>
      <c r="E3" s="2"/>
    </row>
    <row r="4" spans="1:5" ht="12.75" customHeight="1">
      <c r="A4" s="113" t="s">
        <v>2</v>
      </c>
      <c r="B4" s="119" t="s">
        <v>3</v>
      </c>
      <c r="C4" s="73"/>
      <c r="D4" s="76"/>
      <c r="E4" s="68">
        <v>45922</v>
      </c>
    </row>
    <row r="5" spans="1:5" ht="13.5" customHeight="1">
      <c r="A5" s="114"/>
      <c r="B5" s="120"/>
      <c r="C5" s="74" t="s">
        <v>4</v>
      </c>
      <c r="D5" s="77" t="s">
        <v>5</v>
      </c>
      <c r="E5" s="2"/>
    </row>
    <row r="6" spans="1:5" ht="13.5" customHeight="1">
      <c r="A6" s="115"/>
      <c r="B6" s="121"/>
      <c r="C6" s="75"/>
      <c r="D6" s="78"/>
      <c r="E6" s="2"/>
    </row>
    <row r="7" spans="1:5" ht="4.9000000000000004" customHeight="1">
      <c r="A7" s="26"/>
      <c r="B7" s="24"/>
      <c r="C7" s="25"/>
      <c r="D7" s="25"/>
      <c r="E7" s="2"/>
    </row>
    <row r="8" spans="1:5" ht="16.5" customHeight="1">
      <c r="A8" s="5" t="s">
        <v>6</v>
      </c>
      <c r="B8" s="63"/>
      <c r="C8" s="89">
        <v>70</v>
      </c>
      <c r="D8" s="64">
        <v>55</v>
      </c>
      <c r="E8" s="22" t="s">
        <v>7</v>
      </c>
    </row>
    <row r="9" spans="1:5" ht="12.75" customHeight="1">
      <c r="A9" s="6" t="s">
        <v>8</v>
      </c>
      <c r="B9" s="36">
        <v>2</v>
      </c>
      <c r="C9" s="90">
        <f t="shared" ref="C9" si="0">SUM(C8*2)</f>
        <v>140</v>
      </c>
      <c r="D9" s="47">
        <f t="shared" ref="D9" si="1">SUM(D8*2)</f>
        <v>110</v>
      </c>
      <c r="E9" s="23"/>
    </row>
    <row r="10" spans="1:5" ht="12.75" customHeight="1">
      <c r="A10" s="7" t="s">
        <v>9</v>
      </c>
      <c r="B10" s="35">
        <v>1.6</v>
      </c>
      <c r="C10" s="91">
        <f t="shared" ref="C10" si="2">C8*1.6</f>
        <v>112</v>
      </c>
      <c r="D10" s="48">
        <f t="shared" ref="D10" si="3">D8*1.6</f>
        <v>88</v>
      </c>
      <c r="E10" s="23"/>
    </row>
    <row r="11" spans="1:5" ht="12.75" customHeight="1">
      <c r="A11" s="8" t="s">
        <v>10</v>
      </c>
      <c r="B11" s="35">
        <v>1.6</v>
      </c>
      <c r="C11" s="92">
        <f t="shared" ref="C11" si="4">C8*1.6</f>
        <v>112</v>
      </c>
      <c r="D11" s="49">
        <f t="shared" ref="D11" si="5">D8*1.6</f>
        <v>88</v>
      </c>
      <c r="E11" s="23"/>
    </row>
    <row r="12" spans="1:5" ht="12.75" customHeight="1">
      <c r="A12" s="9" t="s">
        <v>11</v>
      </c>
      <c r="B12" s="35">
        <v>2</v>
      </c>
      <c r="C12" s="93">
        <f t="shared" ref="C12" si="6">C8*2</f>
        <v>140</v>
      </c>
      <c r="D12" s="50">
        <f t="shared" ref="D12" si="7">D8*2</f>
        <v>110</v>
      </c>
      <c r="E12" s="23"/>
    </row>
    <row r="13" spans="1:5">
      <c r="A13" s="10" t="s">
        <v>12</v>
      </c>
      <c r="B13" s="37">
        <v>2</v>
      </c>
      <c r="C13" s="94">
        <f t="shared" ref="C13" si="8">C8*2</f>
        <v>140</v>
      </c>
      <c r="D13" s="51">
        <f t="shared" ref="D13" si="9">D8*2</f>
        <v>110</v>
      </c>
      <c r="E13" s="10"/>
    </row>
    <row r="14" spans="1:5" s="109" customFormat="1" ht="11.45" customHeight="1">
      <c r="A14" s="106"/>
      <c r="B14" s="106"/>
      <c r="C14" s="107">
        <f t="shared" ref="C14" si="10">C8*1.15</f>
        <v>80.5</v>
      </c>
      <c r="D14" s="107">
        <f t="shared" ref="D14" si="11">D8*1.15</f>
        <v>63.249999999999993</v>
      </c>
      <c r="E14" s="108"/>
    </row>
    <row r="15" spans="1:5" ht="18" customHeight="1">
      <c r="A15" s="122" t="s">
        <v>13</v>
      </c>
      <c r="B15" s="123"/>
      <c r="C15" s="89">
        <v>81</v>
      </c>
      <c r="D15" s="64">
        <v>63</v>
      </c>
      <c r="E15" s="22" t="s">
        <v>14</v>
      </c>
    </row>
    <row r="16" spans="1:5" ht="12.6" customHeight="1">
      <c r="A16" s="11" t="s">
        <v>15</v>
      </c>
      <c r="B16" s="38">
        <v>2</v>
      </c>
      <c r="C16" s="95">
        <f t="shared" ref="C16" si="12">C15*2</f>
        <v>162</v>
      </c>
      <c r="D16" s="81">
        <f t="shared" ref="D16" si="13">D15*2</f>
        <v>126</v>
      </c>
      <c r="E16" s="23" t="s">
        <v>16</v>
      </c>
    </row>
    <row r="17" spans="1:5" ht="12.6" customHeight="1">
      <c r="A17" s="9" t="s">
        <v>10</v>
      </c>
      <c r="B17" s="39">
        <v>2</v>
      </c>
      <c r="C17" s="96">
        <f t="shared" ref="C17" si="14">C15*2</f>
        <v>162</v>
      </c>
      <c r="D17" s="82">
        <f t="shared" ref="D17" si="15">D15*2</f>
        <v>126</v>
      </c>
      <c r="E17" s="23" t="s">
        <v>17</v>
      </c>
    </row>
    <row r="18" spans="1:5" ht="12.6" customHeight="1">
      <c r="A18" s="9" t="s">
        <v>11</v>
      </c>
      <c r="B18" s="83">
        <v>2</v>
      </c>
      <c r="C18" s="96">
        <f t="shared" ref="C18" si="16">C15*2</f>
        <v>162</v>
      </c>
      <c r="D18" s="82">
        <f t="shared" ref="D18" si="17">D15*2</f>
        <v>126</v>
      </c>
      <c r="E18" s="23"/>
    </row>
    <row r="19" spans="1:5" ht="12.6" customHeight="1">
      <c r="A19" s="9" t="s">
        <v>18</v>
      </c>
      <c r="B19" s="83">
        <v>2.4</v>
      </c>
      <c r="C19" s="65">
        <f>C15*2.4</f>
        <v>194.4</v>
      </c>
      <c r="D19" s="84">
        <f>D15*2.4</f>
        <v>151.19999999999999</v>
      </c>
      <c r="E19" s="23"/>
    </row>
    <row r="20" spans="1:5" ht="12.75" customHeight="1">
      <c r="A20" s="12" t="s">
        <v>19</v>
      </c>
      <c r="B20" s="45">
        <v>2</v>
      </c>
      <c r="C20" s="97">
        <f t="shared" ref="C20" si="18">C15*2</f>
        <v>162</v>
      </c>
      <c r="D20" s="85">
        <f t="shared" ref="D20" si="19">D15*2</f>
        <v>126</v>
      </c>
      <c r="E20" s="23"/>
    </row>
    <row r="21" spans="1:5" ht="12.75" customHeight="1">
      <c r="A21" s="13" t="s">
        <v>12</v>
      </c>
      <c r="B21" s="43">
        <v>2</v>
      </c>
      <c r="C21" s="98">
        <f t="shared" ref="C21" si="20">C15*2</f>
        <v>162</v>
      </c>
      <c r="D21" s="56">
        <f t="shared" ref="D21" si="21">D15*2</f>
        <v>126</v>
      </c>
      <c r="E21" s="23"/>
    </row>
    <row r="22" spans="1:5" ht="12.75" customHeight="1">
      <c r="A22" s="14" t="s">
        <v>20</v>
      </c>
      <c r="B22" s="41">
        <v>2.4</v>
      </c>
      <c r="C22" s="66">
        <f>C15*2.4</f>
        <v>194.4</v>
      </c>
      <c r="D22" s="86">
        <f>D15*2.4</f>
        <v>151.19999999999999</v>
      </c>
      <c r="E22" s="23"/>
    </row>
    <row r="23" spans="1:5" ht="12.75" customHeight="1">
      <c r="A23" s="12" t="s">
        <v>21</v>
      </c>
      <c r="B23" s="87">
        <v>2.65</v>
      </c>
      <c r="C23" s="99">
        <f t="shared" ref="C23" si="22">C15*2.65</f>
        <v>214.65</v>
      </c>
      <c r="D23" s="53">
        <f t="shared" ref="D23" si="23">D15*2.65</f>
        <v>166.95</v>
      </c>
      <c r="E23" s="23"/>
    </row>
    <row r="24" spans="1:5" ht="12.75" customHeight="1">
      <c r="A24" s="14" t="s">
        <v>22</v>
      </c>
      <c r="B24" s="41">
        <v>2.65</v>
      </c>
      <c r="C24" s="100">
        <f t="shared" ref="C24" si="24">C15*2.65</f>
        <v>214.65</v>
      </c>
      <c r="D24" s="52">
        <f t="shared" ref="D24" si="25">D15*2.65</f>
        <v>166.95</v>
      </c>
      <c r="E24" s="23"/>
    </row>
    <row r="25" spans="1:5" ht="12.6" customHeight="1">
      <c r="A25" s="15" t="s">
        <v>23</v>
      </c>
      <c r="B25" s="88">
        <v>3.3</v>
      </c>
      <c r="C25" s="101">
        <f t="shared" ref="C25" si="26">C15*3.3</f>
        <v>267.3</v>
      </c>
      <c r="D25" s="54">
        <f t="shared" ref="D25" si="27">D15*3.3</f>
        <v>207.89999999999998</v>
      </c>
      <c r="E25" s="10"/>
    </row>
    <row r="26" spans="1:5" s="109" customFormat="1" ht="12" customHeight="1">
      <c r="A26" s="106"/>
      <c r="B26" s="106"/>
      <c r="C26" s="107">
        <f t="shared" ref="C26" si="28">C8*1.4</f>
        <v>98</v>
      </c>
      <c r="D26" s="107">
        <f t="shared" ref="D26" si="29">D8*1.4</f>
        <v>77</v>
      </c>
      <c r="E26" s="106"/>
    </row>
    <row r="27" spans="1:5" ht="17.45" customHeight="1">
      <c r="A27" s="122" t="s">
        <v>24</v>
      </c>
      <c r="B27" s="123"/>
      <c r="C27" s="89">
        <v>98</v>
      </c>
      <c r="D27" s="64">
        <v>77</v>
      </c>
      <c r="E27" s="27" t="s">
        <v>25</v>
      </c>
    </row>
    <row r="28" spans="1:5" ht="12.75" customHeight="1">
      <c r="A28" s="12" t="s">
        <v>19</v>
      </c>
      <c r="B28" s="42">
        <v>2</v>
      </c>
      <c r="C28" s="102">
        <f t="shared" ref="C28" si="30">C27*2</f>
        <v>196</v>
      </c>
      <c r="D28" s="55">
        <f t="shared" ref="D28" si="31">D27*2</f>
        <v>154</v>
      </c>
      <c r="E28" s="28" t="s">
        <v>26</v>
      </c>
    </row>
    <row r="29" spans="1:5" ht="12.75" customHeight="1">
      <c r="A29" s="13" t="s">
        <v>12</v>
      </c>
      <c r="B29" s="40">
        <v>2</v>
      </c>
      <c r="C29" s="98">
        <f t="shared" ref="C29" si="32">C27*2</f>
        <v>196</v>
      </c>
      <c r="D29" s="56">
        <f t="shared" ref="D29" si="33">D27*2</f>
        <v>154</v>
      </c>
      <c r="E29" s="28" t="s">
        <v>27</v>
      </c>
    </row>
    <row r="30" spans="1:5" ht="12.75" customHeight="1">
      <c r="A30" s="16" t="s">
        <v>20</v>
      </c>
      <c r="B30" s="40">
        <v>2.25</v>
      </c>
      <c r="C30" s="103">
        <f t="shared" ref="C30" si="34">C27*2.25</f>
        <v>220.5</v>
      </c>
      <c r="D30" s="57">
        <f t="shared" ref="D30" si="35">D27*2.25</f>
        <v>173.25</v>
      </c>
      <c r="E30" s="28"/>
    </row>
    <row r="31" spans="1:5" ht="12.75" customHeight="1">
      <c r="A31" s="17" t="s">
        <v>28</v>
      </c>
      <c r="B31" s="43">
        <v>2.5</v>
      </c>
      <c r="C31" s="98">
        <f t="shared" ref="C31" si="36">C27*2.5</f>
        <v>245</v>
      </c>
      <c r="D31" s="56">
        <f t="shared" ref="D31" si="37">D27*2.5</f>
        <v>192.5</v>
      </c>
      <c r="E31" s="28"/>
    </row>
    <row r="32" spans="1:5" ht="12.75" customHeight="1">
      <c r="A32" s="18" t="s">
        <v>29</v>
      </c>
      <c r="B32" s="44">
        <v>2.75</v>
      </c>
      <c r="C32" s="104">
        <f t="shared" ref="C32" si="38">C27*2.75</f>
        <v>269.5</v>
      </c>
      <c r="D32" s="58">
        <f t="shared" ref="D32" si="39">D27*2.75</f>
        <v>211.75</v>
      </c>
      <c r="E32" s="28"/>
    </row>
    <row r="33" spans="1:5" ht="12.75" customHeight="1">
      <c r="A33" s="29" t="s">
        <v>21</v>
      </c>
      <c r="B33" s="45">
        <v>2.4</v>
      </c>
      <c r="C33" s="102">
        <f t="shared" ref="C33" si="40">C27*2.4</f>
        <v>235.2</v>
      </c>
      <c r="D33" s="55">
        <f t="shared" ref="D33" si="41">D27*2.4</f>
        <v>184.79999999999998</v>
      </c>
      <c r="E33" s="28"/>
    </row>
    <row r="34" spans="1:5" ht="12.75" customHeight="1">
      <c r="A34" s="17" t="s">
        <v>22</v>
      </c>
      <c r="B34" s="43">
        <v>2.4</v>
      </c>
      <c r="C34" s="98">
        <f t="shared" ref="C34" si="42">C27*2.4</f>
        <v>235.2</v>
      </c>
      <c r="D34" s="56">
        <f t="shared" ref="D34" si="43">D27*2.4</f>
        <v>184.79999999999998</v>
      </c>
      <c r="E34" s="28"/>
    </row>
    <row r="35" spans="1:5" ht="12.75" customHeight="1">
      <c r="A35" s="17" t="s">
        <v>30</v>
      </c>
      <c r="B35" s="43">
        <v>2.65</v>
      </c>
      <c r="C35" s="98">
        <f t="shared" ref="C35" si="44">C27*2.65</f>
        <v>259.7</v>
      </c>
      <c r="D35" s="56">
        <f t="shared" ref="D35" si="45">D27*2.65</f>
        <v>204.04999999999998</v>
      </c>
      <c r="E35" s="28"/>
    </row>
    <row r="36" spans="1:5" ht="12.75" customHeight="1">
      <c r="A36" s="18" t="s">
        <v>31</v>
      </c>
      <c r="B36" s="44">
        <v>2.9</v>
      </c>
      <c r="C36" s="104">
        <f t="shared" ref="C36" si="46">C27*2.9</f>
        <v>284.2</v>
      </c>
      <c r="D36" s="58">
        <f t="shared" ref="D36" si="47">D27*2.9</f>
        <v>223.29999999999998</v>
      </c>
      <c r="E36" s="28"/>
    </row>
    <row r="37" spans="1:5" ht="12.75" customHeight="1">
      <c r="A37" s="29" t="s">
        <v>23</v>
      </c>
      <c r="B37" s="45">
        <v>2.8</v>
      </c>
      <c r="C37" s="102">
        <f t="shared" ref="C37" si="48">C27*2.8</f>
        <v>274.39999999999998</v>
      </c>
      <c r="D37" s="55">
        <f t="shared" ref="D37" si="49">D27*2.8</f>
        <v>215.6</v>
      </c>
      <c r="E37" s="28"/>
    </row>
    <row r="38" spans="1:5" ht="12.75" customHeight="1">
      <c r="A38" s="17" t="s">
        <v>32</v>
      </c>
      <c r="B38" s="43">
        <v>2.8</v>
      </c>
      <c r="C38" s="98">
        <f t="shared" ref="C38" si="50">C27*2.8</f>
        <v>274.39999999999998</v>
      </c>
      <c r="D38" s="56">
        <f t="shared" ref="D38" si="51">D27*2.8</f>
        <v>215.6</v>
      </c>
      <c r="E38" s="28"/>
    </row>
    <row r="39" spans="1:5" ht="12.75" customHeight="1">
      <c r="A39" s="19" t="s">
        <v>33</v>
      </c>
      <c r="B39" s="44">
        <v>3.05</v>
      </c>
      <c r="C39" s="105">
        <f t="shared" ref="C39" si="52">C27*3.05</f>
        <v>298.89999999999998</v>
      </c>
      <c r="D39" s="59">
        <f t="shared" ref="D39" si="53">D27*3.05</f>
        <v>234.85</v>
      </c>
      <c r="E39" s="28"/>
    </row>
    <row r="40" spans="1:5" ht="12.75" customHeight="1">
      <c r="A40" s="20" t="s">
        <v>34</v>
      </c>
      <c r="B40" s="36">
        <v>3.2</v>
      </c>
      <c r="C40" s="102">
        <f t="shared" ref="C40" si="54">C27*3.2</f>
        <v>313.60000000000002</v>
      </c>
      <c r="D40" s="60">
        <f t="shared" ref="D40" si="55">D27*3.2</f>
        <v>246.4</v>
      </c>
      <c r="E40" s="28"/>
    </row>
    <row r="41" spans="1:5" ht="12.75" customHeight="1">
      <c r="A41" s="14" t="s">
        <v>35</v>
      </c>
      <c r="B41" s="37">
        <v>3.2</v>
      </c>
      <c r="C41" s="105">
        <f t="shared" ref="C41" si="56">C27*3.2</f>
        <v>313.60000000000002</v>
      </c>
      <c r="D41" s="61">
        <f t="shared" ref="D41" si="57">D27*3.2</f>
        <v>246.4</v>
      </c>
      <c r="E41" s="28"/>
    </row>
    <row r="42" spans="1:5" ht="13.5" customHeight="1">
      <c r="A42" s="21" t="s">
        <v>36</v>
      </c>
      <c r="B42" s="46">
        <v>3.6</v>
      </c>
      <c r="C42" s="104">
        <f t="shared" ref="C42" si="58">C27*3.6</f>
        <v>352.8</v>
      </c>
      <c r="D42" s="62">
        <f t="shared" ref="D42" si="59">D27*3.6</f>
        <v>277.2</v>
      </c>
      <c r="E42" s="31"/>
    </row>
    <row r="43" spans="1:5" ht="5.25" customHeight="1">
      <c r="A43" s="32"/>
      <c r="B43" s="32"/>
      <c r="C43" s="30"/>
      <c r="D43" s="30"/>
      <c r="E43" s="33"/>
    </row>
    <row r="44" spans="1:5" ht="12.75" customHeight="1">
      <c r="A44" s="117" t="s">
        <v>37</v>
      </c>
      <c r="B44" s="118"/>
      <c r="C44" s="3">
        <v>5</v>
      </c>
      <c r="D44" s="3">
        <v>5</v>
      </c>
      <c r="E44" s="34"/>
    </row>
    <row r="45" spans="1:5" ht="12.75" customHeight="1">
      <c r="A45" s="117" t="s">
        <v>38</v>
      </c>
      <c r="B45" s="118"/>
      <c r="C45" s="3">
        <v>3</v>
      </c>
      <c r="D45" s="3">
        <v>3</v>
      </c>
      <c r="E45" s="34"/>
    </row>
    <row r="46" spans="1:5" ht="12.75" customHeight="1">
      <c r="A46" s="4"/>
      <c r="B46" s="4"/>
      <c r="C46" s="4"/>
      <c r="D46" s="4"/>
      <c r="E46" s="4"/>
    </row>
    <row r="47" spans="1:5" ht="12.95" customHeight="1">
      <c r="A47" s="124" t="s">
        <v>39</v>
      </c>
      <c r="B47" s="125"/>
      <c r="C47" s="125"/>
      <c r="D47" s="125"/>
      <c r="E47" s="126"/>
    </row>
    <row r="49" spans="1:5" s="67" customFormat="1" ht="13.15" customHeight="1">
      <c r="A49" s="69" t="s">
        <v>40</v>
      </c>
      <c r="B49" s="69"/>
      <c r="C49" s="79"/>
      <c r="D49" s="79"/>
      <c r="E49" s="79"/>
    </row>
    <row r="50" spans="1:5" s="67" customFormat="1" ht="13.15" customHeight="1">
      <c r="A50" s="71" t="s">
        <v>41</v>
      </c>
      <c r="B50" s="71"/>
      <c r="C50" s="79"/>
      <c r="D50" s="79"/>
      <c r="E50" s="79"/>
    </row>
    <row r="51" spans="1:5" s="67" customFormat="1" ht="13.15" customHeight="1">
      <c r="A51" s="71" t="s">
        <v>42</v>
      </c>
      <c r="B51" s="71"/>
      <c r="C51" s="79"/>
      <c r="D51" s="79"/>
      <c r="E51" s="79"/>
    </row>
    <row r="52" spans="1:5" s="67" customFormat="1" ht="13.15" customHeight="1">
      <c r="A52" s="69" t="s">
        <v>43</v>
      </c>
      <c r="B52" s="69"/>
      <c r="C52" s="79"/>
      <c r="D52" s="79"/>
      <c r="E52" s="79"/>
    </row>
    <row r="53" spans="1:5" s="67" customFormat="1" ht="13.15" customHeight="1">
      <c r="A53" s="111" t="s">
        <v>44</v>
      </c>
      <c r="B53" s="111"/>
      <c r="C53" s="111"/>
      <c r="D53" s="111"/>
      <c r="E53" s="111"/>
    </row>
    <row r="54" spans="1:5" s="67" customFormat="1" ht="13.15" customHeight="1">
      <c r="A54" s="70" t="s">
        <v>45</v>
      </c>
      <c r="B54" s="70"/>
      <c r="C54" s="79"/>
      <c r="D54" s="79"/>
      <c r="E54" s="79"/>
    </row>
    <row r="55" spans="1:5" s="67" customFormat="1" ht="13.15" customHeight="1">
      <c r="A55" s="80" t="s">
        <v>46</v>
      </c>
      <c r="B55" s="80"/>
    </row>
    <row r="56" spans="1:5" s="67" customFormat="1" ht="13.15" customHeight="1">
      <c r="A56" s="110"/>
      <c r="B56" s="110"/>
      <c r="C56" s="79"/>
      <c r="D56" s="79"/>
      <c r="E56" s="79"/>
    </row>
    <row r="57" spans="1:5" s="67" customFormat="1" ht="13.15" customHeight="1">
      <c r="A57" s="69" t="s">
        <v>47</v>
      </c>
      <c r="B57" s="69"/>
      <c r="C57" s="79"/>
      <c r="D57" s="79"/>
      <c r="E57" s="79"/>
    </row>
  </sheetData>
  <mergeCells count="11">
    <mergeCell ref="A56:B56"/>
    <mergeCell ref="A53:E53"/>
    <mergeCell ref="A1:C1"/>
    <mergeCell ref="A4:A6"/>
    <mergeCell ref="A2:E2"/>
    <mergeCell ref="A44:B44"/>
    <mergeCell ref="B4:B6"/>
    <mergeCell ref="A45:B45"/>
    <mergeCell ref="A15:B15"/>
    <mergeCell ref="A27:B27"/>
    <mergeCell ref="A47:E47"/>
  </mergeCells>
  <phoneticPr fontId="1" type="noConversion"/>
  <hyperlinks>
    <hyperlink ref="A55" r:id="rId1" display="https://www.corendonhotels.com.tr/corendon-hotels/kurumsal/genel-aydinlatma-beyani" xr:uid="{00000000-0004-0000-0000-000000000000}"/>
  </hyperlinks>
  <pageMargins left="0.35433070866141736" right="0.35433070866141736" top="0.15748031496062992" bottom="0.15748031496062992" header="0.51181102362204722" footer="0.51181102362204722"/>
  <pageSetup paperSize="9" scale="67" orientation="landscape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069AD1B1170CB744841F2812FBF31EDE" ma:contentTypeVersion="16" ma:contentTypeDescription="Yeni belge oluşturun." ma:contentTypeScope="" ma:versionID="ce83de3ac3b19d6fce7bced225775562">
  <xsd:schema xmlns:xsd="http://www.w3.org/2001/XMLSchema" xmlns:xs="http://www.w3.org/2001/XMLSchema" xmlns:p="http://schemas.microsoft.com/office/2006/metadata/properties" xmlns:ns2="86137fea-04c9-4ec3-9f07-a3f8e8bdda6d" xmlns:ns3="92ca4a80-3390-47e2-b911-47a947df16b7" targetNamespace="http://schemas.microsoft.com/office/2006/metadata/properties" ma:root="true" ma:fieldsID="773a05becc1e451a08931cd76a6600b2" ns2:_="" ns3:_="">
    <xsd:import namespace="86137fea-04c9-4ec3-9f07-a3f8e8bdda6d"/>
    <xsd:import namespace="92ca4a80-3390-47e2-b911-47a947df16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tari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37fea-04c9-4ec3-9f07-a3f8e8bdda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Resim Etiketleri" ma:readOnly="false" ma:fieldId="{5cf76f15-5ced-4ddc-b409-7134ff3c332f}" ma:taxonomyMulti="true" ma:sspId="2cb4adbf-a56f-4e22-8501-2c9267fac6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arih" ma:index="23" nillable="true" ma:displayName="tarih" ma:format="Dropdown" ma:internalName="tarih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a4a80-3390-47e2-b911-47a947df16b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6bebcd5-985e-47ab-b75e-86b15ce4049d}" ma:internalName="TaxCatchAll" ma:showField="CatchAllData" ma:web="92ca4a80-3390-47e2-b911-47a947df16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ca4a80-3390-47e2-b911-47a947df16b7" xsi:nil="true"/>
    <lcf76f155ced4ddcb4097134ff3c332f xmlns="86137fea-04c9-4ec3-9f07-a3f8e8bdda6d">
      <Terms xmlns="http://schemas.microsoft.com/office/infopath/2007/PartnerControls"/>
    </lcf76f155ced4ddcb4097134ff3c332f>
    <tarih xmlns="86137fea-04c9-4ec3-9f07-a3f8e8bdda6d" xsi:nil="true"/>
  </documentManagement>
</p:properties>
</file>

<file path=customXml/itemProps1.xml><?xml version="1.0" encoding="utf-8"?>
<ds:datastoreItem xmlns:ds="http://schemas.openxmlformats.org/officeDocument/2006/customXml" ds:itemID="{36470FBE-462B-4327-ABE1-EFB9FFD1F28D}"/>
</file>

<file path=customXml/itemProps2.xml><?xml version="1.0" encoding="utf-8"?>
<ds:datastoreItem xmlns:ds="http://schemas.openxmlformats.org/officeDocument/2006/customXml" ds:itemID="{1E80B2CC-3351-4576-8286-6408F1DEA9EA}"/>
</file>

<file path=customXml/itemProps3.xml><?xml version="1.0" encoding="utf-8"?>
<ds:datastoreItem xmlns:ds="http://schemas.openxmlformats.org/officeDocument/2006/customXml" ds:itemID="{E1ED3955-3378-4B20-A17E-66B29C5C1D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Serapsu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İKBAL TOKTAŞ</dc:creator>
  <cp:keywords/>
  <dc:description/>
  <cp:lastModifiedBy>Melis Körezlioğlu Karlı</cp:lastModifiedBy>
  <cp:revision/>
  <dcterms:created xsi:type="dcterms:W3CDTF">1999-11-26T09:25:49Z</dcterms:created>
  <dcterms:modified xsi:type="dcterms:W3CDTF">2025-09-22T14:38:49Z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  <property fmtid="{D5CDD505-2E9C-101B-9397-08002B2CF9AE}" pid="4" name="ContentTypeId">
    <vt:lpwstr>0x010100069AD1B1170CB744841F2812FBF31EDE</vt:lpwstr>
  </property>
  <property fmtid="{D5CDD505-2E9C-101B-9397-08002B2CF9AE}" pid="5" name="MediaServiceImageTags">
    <vt:lpwstr/>
  </property>
</Properties>
</file>
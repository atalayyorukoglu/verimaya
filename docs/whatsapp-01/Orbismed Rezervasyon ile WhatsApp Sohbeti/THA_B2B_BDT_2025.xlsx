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8355"/>
  </bookViews>
  <sheets>
    <sheet name="Sayfa1" sheetId="1" r:id="rId1"/>
  </sheets>
  <definedNames>
    <definedName name="_xlnm.Print_Area" localSheetId="0">Sayfa1!$A$1:$L$46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2" i="1" l="1"/>
  <c r="E22" i="1"/>
  <c r="F22" i="1"/>
  <c r="G22" i="1"/>
  <c r="I22" i="1"/>
  <c r="J22" i="1"/>
  <c r="L22" i="1"/>
  <c r="D13" i="1" l="1"/>
  <c r="E13" i="1"/>
  <c r="F13" i="1"/>
  <c r="G13" i="1"/>
  <c r="H13" i="1"/>
  <c r="H22" i="1" s="1"/>
  <c r="I13" i="1"/>
  <c r="J13" i="1"/>
  <c r="L13" i="1"/>
  <c r="C22" i="1"/>
  <c r="C13" i="1"/>
  <c r="D5" i="1" l="1"/>
  <c r="E5" i="1"/>
  <c r="F5" i="1"/>
  <c r="G5" i="1"/>
  <c r="H5" i="1"/>
  <c r="I5" i="1"/>
  <c r="J5" i="1"/>
  <c r="L5" i="1"/>
  <c r="C5" i="1"/>
  <c r="D29" i="1" l="1"/>
  <c r="E29" i="1"/>
  <c r="F29" i="1"/>
  <c r="G29" i="1"/>
  <c r="H29" i="1"/>
  <c r="I29" i="1"/>
  <c r="J29" i="1"/>
  <c r="L29" i="1"/>
  <c r="C29" i="1"/>
  <c r="G17" i="1"/>
  <c r="G18" i="1" s="1"/>
  <c r="C14" i="1"/>
  <c r="F8" i="1"/>
  <c r="G8" i="1"/>
  <c r="H8" i="1"/>
  <c r="I8" i="1"/>
  <c r="E8" i="1"/>
  <c r="C6" i="1"/>
  <c r="J23" i="1" l="1"/>
  <c r="J14" i="1"/>
  <c r="I30" i="1"/>
  <c r="I9" i="1"/>
  <c r="I17" i="1"/>
  <c r="I18" i="1" s="1"/>
  <c r="I14" i="1"/>
  <c r="H17" i="1"/>
  <c r="H18" i="1" s="1"/>
  <c r="H14" i="1"/>
  <c r="H30" i="1"/>
  <c r="H9" i="1"/>
  <c r="G30" i="1"/>
  <c r="G9" i="1"/>
  <c r="G23" i="1"/>
  <c r="G14" i="1"/>
  <c r="F30" i="1"/>
  <c r="F9" i="1"/>
  <c r="F17" i="1"/>
  <c r="F18" i="1" s="1"/>
  <c r="F14" i="1"/>
  <c r="E30" i="1"/>
  <c r="E9" i="1"/>
  <c r="E17" i="1"/>
  <c r="E18" i="1" s="1"/>
  <c r="E14" i="1"/>
  <c r="D23" i="1"/>
  <c r="D14" i="1"/>
  <c r="L23" i="1"/>
  <c r="L14" i="1"/>
  <c r="I23" i="1"/>
  <c r="H23" i="1"/>
  <c r="F23" i="1"/>
  <c r="E23" i="1"/>
  <c r="C23" i="1"/>
  <c r="C15" i="1"/>
  <c r="H25" i="1" l="1"/>
  <c r="H26" i="1" s="1"/>
  <c r="I25" i="1"/>
  <c r="I26" i="1" s="1"/>
  <c r="F25" i="1"/>
  <c r="F26" i="1" s="1"/>
  <c r="E25" i="1"/>
  <c r="E26" i="1" s="1"/>
  <c r="G25" i="1"/>
  <c r="G26" i="1" s="1"/>
  <c r="G10" i="1" l="1"/>
  <c r="G6" i="1" l="1"/>
  <c r="G15" i="1" l="1"/>
  <c r="G19" i="1" l="1"/>
  <c r="J15" i="1"/>
  <c r="J6" i="1"/>
  <c r="H15" i="1" l="1"/>
  <c r="D15" i="1"/>
  <c r="H10" i="1"/>
  <c r="F10" i="1"/>
  <c r="L6" i="1"/>
  <c r="I6" i="1"/>
  <c r="H6" i="1"/>
  <c r="F6" i="1"/>
  <c r="E6" i="1"/>
  <c r="D6" i="1"/>
  <c r="E15" i="1" l="1"/>
  <c r="I15" i="1"/>
  <c r="L15" i="1"/>
  <c r="E19" i="1"/>
  <c r="I19" i="1"/>
  <c r="I10" i="1"/>
  <c r="E10" i="1"/>
  <c r="F15" i="1"/>
  <c r="H19" i="1" l="1"/>
  <c r="F19" i="1"/>
</calcChain>
</file>

<file path=xl/sharedStrings.xml><?xml version="1.0" encoding="utf-8"?>
<sst xmlns="http://schemas.openxmlformats.org/spreadsheetml/2006/main" count="42" uniqueCount="24">
  <si>
    <t>TOURİST HOTEL ANTALYA</t>
  </si>
  <si>
    <t>Lateral sea view BB</t>
  </si>
  <si>
    <t>dbl</t>
  </si>
  <si>
    <t>sng</t>
  </si>
  <si>
    <t>trp</t>
  </si>
  <si>
    <t>Lateral sea view HB</t>
  </si>
  <si>
    <t>Sea view BB</t>
  </si>
  <si>
    <t>Sea view HB</t>
  </si>
  <si>
    <t>Panaromic view BB</t>
  </si>
  <si>
    <t>Panaromic view HB</t>
  </si>
  <si>
    <t>famıly bb</t>
  </si>
  <si>
    <t>famıly hb</t>
  </si>
  <si>
    <t>iki yetişkin yanında 00-06 bir çocuk free</t>
  </si>
  <si>
    <t>iki yetişkin yanında 07-11 yaş bir çocuk %50 indirimlidir.</t>
  </si>
  <si>
    <t>release</t>
  </si>
  <si>
    <t xml:space="preserve">kontenjan </t>
  </si>
  <si>
    <t>sea view</t>
  </si>
  <si>
    <t>lateral sea view</t>
  </si>
  <si>
    <t>release tarihi sonrası iptaller icin 1 gece no-show uygulanır</t>
  </si>
  <si>
    <t>panaromic</t>
  </si>
  <si>
    <t>Kdv ve konaklama vergisi dahil net satış fiyatlarımızdır. Odemeler giristen önce sekliyledir.</t>
  </si>
  <si>
    <t xml:space="preserve">5 kişilik aile odamız 2 adet mevcut olup arakapılı değildir. </t>
  </si>
  <si>
    <t>Odalar 2 dbl 1 sng yatak seklindedir. Talep olması durumunda carpanı unite satıs pp* 4,3 dur</t>
  </si>
  <si>
    <t>B2B/Euro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</si>
</sst>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[$€-407]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sz val="11"/>
      <color rgb="FF002060"/>
      <name val="Calibri"/>
      <family val="2"/>
      <charset val="162"/>
      <scheme val="minor"/>
    </font>
    <font>
      <sz val="10"/>
      <name val="Calibri"/>
      <family val="2"/>
      <charset val="162"/>
      <scheme val="minor"/>
    </font>
    <font>
      <sz val="11"/>
      <color theme="4" tint="-0.499984740745262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14" fontId="2" fillId="2" borderId="1" xfId="0" applyNumberFormat="1" applyFont="1" applyFill="1" applyBorder="1"/>
    <xf numFmtId="14" fontId="2" fillId="2" borderId="2" xfId="0" applyNumberFormat="1" applyFont="1" applyFill="1" applyBorder="1"/>
    <xf numFmtId="14" fontId="2" fillId="2" borderId="3" xfId="0" applyNumberFormat="1" applyFont="1" applyFill="1" applyBorder="1"/>
    <xf numFmtId="14" fontId="2" fillId="3" borderId="4" xfId="0" applyNumberFormat="1" applyFont="1" applyFill="1" applyBorder="1"/>
    <xf numFmtId="14" fontId="2" fillId="2" borderId="5" xfId="0" applyNumberFormat="1" applyFont="1" applyFill="1" applyBorder="1"/>
    <xf numFmtId="14" fontId="2" fillId="2" borderId="6" xfId="0" applyNumberFormat="1" applyFont="1" applyFill="1" applyBorder="1"/>
    <xf numFmtId="14" fontId="2" fillId="2" borderId="7" xfId="0" applyNumberFormat="1" applyFont="1" applyFill="1" applyBorder="1"/>
    <xf numFmtId="14" fontId="2" fillId="3" borderId="8" xfId="0" applyNumberFormat="1" applyFont="1" applyFill="1" applyBorder="1"/>
    <xf numFmtId="0" fontId="2" fillId="4" borderId="0" xfId="0" applyFont="1" applyFill="1"/>
    <xf numFmtId="164" fontId="2" fillId="4" borderId="2" xfId="0" applyNumberFormat="1" applyFont="1" applyFill="1" applyBorder="1"/>
    <xf numFmtId="164" fontId="2" fillId="0" borderId="9" xfId="0" applyNumberFormat="1" applyFont="1" applyBorder="1"/>
    <xf numFmtId="164" fontId="2" fillId="0" borderId="10" xfId="0" applyNumberFormat="1" applyFont="1" applyBorder="1"/>
    <xf numFmtId="164" fontId="2" fillId="0" borderId="6" xfId="0" applyNumberFormat="1" applyFont="1" applyBorder="1"/>
    <xf numFmtId="164" fontId="2" fillId="0" borderId="11" xfId="0" applyNumberFormat="1" applyFont="1" applyBorder="1"/>
    <xf numFmtId="0" fontId="2" fillId="5" borderId="0" xfId="0" applyFont="1" applyFill="1" applyBorder="1"/>
    <xf numFmtId="164" fontId="2" fillId="5" borderId="0" xfId="0" applyNumberFormat="1" applyFont="1" applyFill="1" applyBorder="1"/>
    <xf numFmtId="164" fontId="2" fillId="6" borderId="4" xfId="0" applyNumberFormat="1" applyFont="1" applyFill="1" applyBorder="1"/>
    <xf numFmtId="0" fontId="3" fillId="7" borderId="0" xfId="0" applyFont="1" applyFill="1"/>
    <xf numFmtId="0" fontId="2" fillId="0" borderId="12" xfId="0" applyFont="1" applyBorder="1"/>
    <xf numFmtId="0" fontId="2" fillId="7" borderId="0" xfId="0" applyFont="1" applyFill="1" applyBorder="1"/>
    <xf numFmtId="164" fontId="2" fillId="7" borderId="0" xfId="0" applyNumberFormat="1" applyFont="1" applyFill="1" applyBorder="1"/>
    <xf numFmtId="0" fontId="4" fillId="5" borderId="0" xfId="0" applyFont="1" applyFill="1"/>
    <xf numFmtId="0" fontId="2" fillId="5" borderId="0" xfId="0" applyFont="1" applyFill="1"/>
    <xf numFmtId="164" fontId="2" fillId="5" borderId="9" xfId="0" applyNumberFormat="1" applyFont="1" applyFill="1" applyBorder="1"/>
    <xf numFmtId="164" fontId="2" fillId="5" borderId="2" xfId="0" applyNumberFormat="1" applyFont="1" applyFill="1" applyBorder="1"/>
    <xf numFmtId="164" fontId="4" fillId="5" borderId="4" xfId="0" applyNumberFormat="1" applyFont="1" applyFill="1" applyBorder="1"/>
    <xf numFmtId="1" fontId="2" fillId="5" borderId="0" xfId="0" applyNumberFormat="1" applyFont="1" applyFill="1" applyBorder="1"/>
    <xf numFmtId="0" fontId="5" fillId="5" borderId="0" xfId="0" applyFont="1" applyFill="1"/>
    <xf numFmtId="0" fontId="5" fillId="5" borderId="0" xfId="0" applyFont="1" applyFill="1" applyAlignment="1">
      <alignment vertical="center"/>
    </xf>
    <xf numFmtId="0" fontId="2" fillId="5" borderId="0" xfId="0" applyNumberFormat="1" applyFont="1" applyFill="1" applyBorder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5"/>
  <sheetViews>
    <sheetView tabSelected="1" view="pageBreakPreview" zoomScaleNormal="100" zoomScaleSheetLayoutView="100" workbookViewId="0">
      <selection activeCell="L4" sqref="L4"/>
    </sheetView>
  </sheetViews>
  <sheetFormatPr defaultRowHeight="15" x14ac:dyDescent="0.25"/>
  <cols>
    <col min="1" max="1" width="18.140625" customWidth="1"/>
    <col min="2" max="2" width="3.7109375" bestFit="1" customWidth="1"/>
    <col min="3" max="10" width="9.85546875" bestFit="1" customWidth="1"/>
    <col min="12" max="12" width="9.85546875" bestFit="1" customWidth="1"/>
  </cols>
  <sheetData>
    <row r="1" spans="1:12" ht="15.75" thickBot="1" x14ac:dyDescent="0.3">
      <c r="A1" s="1" t="s">
        <v>0</v>
      </c>
      <c r="B1" s="2"/>
      <c r="C1" s="2"/>
      <c r="D1" s="2"/>
      <c r="E1" s="2"/>
      <c r="F1" s="2"/>
      <c r="G1" s="2"/>
    </row>
    <row r="2" spans="1:12" x14ac:dyDescent="0.25">
      <c r="A2" s="1" t="s">
        <v>23</v>
      </c>
      <c r="B2" s="2"/>
      <c r="C2" s="3">
        <v>45744</v>
      </c>
      <c r="D2" s="4">
        <v>45778</v>
      </c>
      <c r="E2" s="3">
        <v>45809</v>
      </c>
      <c r="F2" s="4">
        <v>45839</v>
      </c>
      <c r="G2" s="5">
        <v>45870</v>
      </c>
      <c r="H2" s="4">
        <v>45896</v>
      </c>
      <c r="I2" s="5">
        <v>45931</v>
      </c>
      <c r="J2" s="5">
        <v>45962</v>
      </c>
      <c r="L2" s="6">
        <v>45992</v>
      </c>
    </row>
    <row r="3" spans="1:12" ht="15.75" thickBot="1" x14ac:dyDescent="0.3">
      <c r="A3" s="2"/>
      <c r="B3" s="2"/>
      <c r="C3" s="7">
        <v>45777</v>
      </c>
      <c r="D3" s="8">
        <v>45808</v>
      </c>
      <c r="E3" s="7">
        <v>45838</v>
      </c>
      <c r="F3" s="8">
        <v>45869</v>
      </c>
      <c r="G3" s="9">
        <v>45895</v>
      </c>
      <c r="H3" s="8">
        <v>45930</v>
      </c>
      <c r="I3" s="9">
        <v>45961</v>
      </c>
      <c r="J3" s="9">
        <v>45991</v>
      </c>
      <c r="L3" s="10">
        <v>46112</v>
      </c>
    </row>
    <row r="4" spans="1:12" x14ac:dyDescent="0.25">
      <c r="A4" s="11" t="s">
        <v>1</v>
      </c>
      <c r="B4" s="11" t="s">
        <v>2</v>
      </c>
      <c r="C4" s="12">
        <v>40</v>
      </c>
      <c r="D4" s="12">
        <v>55</v>
      </c>
      <c r="E4" s="12">
        <v>72</v>
      </c>
      <c r="F4" s="12">
        <v>90</v>
      </c>
      <c r="G4" s="12">
        <v>96</v>
      </c>
      <c r="H4" s="12">
        <v>90</v>
      </c>
      <c r="I4" s="12">
        <v>72</v>
      </c>
      <c r="J4" s="12">
        <v>40</v>
      </c>
      <c r="L4" s="12">
        <v>40</v>
      </c>
    </row>
    <row r="5" spans="1:12" x14ac:dyDescent="0.25">
      <c r="A5" s="2"/>
      <c r="B5" s="2" t="s">
        <v>3</v>
      </c>
      <c r="C5" s="13">
        <f>(C4/2*1.9)</f>
        <v>38</v>
      </c>
      <c r="D5" s="13">
        <f t="shared" ref="D5:L5" si="0">(D4/2*1.9)</f>
        <v>52.25</v>
      </c>
      <c r="E5" s="13">
        <f t="shared" si="0"/>
        <v>68.399999999999991</v>
      </c>
      <c r="F5" s="13">
        <f t="shared" si="0"/>
        <v>85.5</v>
      </c>
      <c r="G5" s="13">
        <f t="shared" si="0"/>
        <v>91.199999999999989</v>
      </c>
      <c r="H5" s="13">
        <f t="shared" si="0"/>
        <v>85.5</v>
      </c>
      <c r="I5" s="13">
        <f t="shared" si="0"/>
        <v>68.399999999999991</v>
      </c>
      <c r="J5" s="13">
        <f t="shared" si="0"/>
        <v>38</v>
      </c>
      <c r="L5" s="13">
        <f t="shared" si="0"/>
        <v>38</v>
      </c>
    </row>
    <row r="6" spans="1:12" ht="15.75" thickBot="1" x14ac:dyDescent="0.3">
      <c r="A6" s="2"/>
      <c r="B6" s="2" t="s">
        <v>4</v>
      </c>
      <c r="C6" s="15">
        <f t="shared" ref="C6:F6" si="1">(C4/2*2.7)</f>
        <v>54</v>
      </c>
      <c r="D6" s="15">
        <f t="shared" si="1"/>
        <v>74.25</v>
      </c>
      <c r="E6" s="15">
        <f t="shared" si="1"/>
        <v>97.2</v>
      </c>
      <c r="F6" s="15">
        <f t="shared" si="1"/>
        <v>121.50000000000001</v>
      </c>
      <c r="G6" s="15">
        <f>(G4/2*2.7)</f>
        <v>129.60000000000002</v>
      </c>
      <c r="H6" s="15">
        <f>(H4/2*2.7)</f>
        <v>121.50000000000001</v>
      </c>
      <c r="I6" s="15">
        <f>(I4/2*2.7)</f>
        <v>97.2</v>
      </c>
      <c r="J6" s="15">
        <f>(J4/2*2.7)</f>
        <v>54</v>
      </c>
      <c r="L6" s="16">
        <f>(L4/2*2.7)</f>
        <v>54</v>
      </c>
    </row>
    <row r="7" spans="1:12" ht="15.75" thickBot="1" x14ac:dyDescent="0.3">
      <c r="A7" s="17" t="s">
        <v>14</v>
      </c>
      <c r="B7" s="17"/>
      <c r="C7" s="29">
        <v>0</v>
      </c>
      <c r="D7" s="29">
        <v>0</v>
      </c>
      <c r="E7" s="29">
        <v>3</v>
      </c>
      <c r="F7" s="29">
        <v>3</v>
      </c>
      <c r="G7" s="29">
        <v>3</v>
      </c>
      <c r="H7" s="29">
        <v>3</v>
      </c>
      <c r="I7" s="29">
        <v>0</v>
      </c>
      <c r="J7" s="29">
        <v>0</v>
      </c>
      <c r="L7" s="29">
        <v>0</v>
      </c>
    </row>
    <row r="8" spans="1:12" x14ac:dyDescent="0.25">
      <c r="A8" s="11" t="s">
        <v>5</v>
      </c>
      <c r="B8" s="11" t="s">
        <v>2</v>
      </c>
      <c r="C8" s="12"/>
      <c r="D8" s="12"/>
      <c r="E8" s="12">
        <f>SUM(E4, 50)</f>
        <v>122</v>
      </c>
      <c r="F8" s="12">
        <f t="shared" ref="F8:I8" si="2">SUM(F4, 50)</f>
        <v>140</v>
      </c>
      <c r="G8" s="12">
        <f t="shared" si="2"/>
        <v>146</v>
      </c>
      <c r="H8" s="12">
        <f t="shared" si="2"/>
        <v>140</v>
      </c>
      <c r="I8" s="12">
        <f t="shared" si="2"/>
        <v>122</v>
      </c>
      <c r="J8" s="12"/>
      <c r="L8" s="19"/>
    </row>
    <row r="9" spans="1:12" x14ac:dyDescent="0.25">
      <c r="A9" s="2"/>
      <c r="B9" s="2" t="s">
        <v>3</v>
      </c>
      <c r="C9" s="13"/>
      <c r="D9" s="13"/>
      <c r="E9" s="13">
        <f>(E8/2*1.9)</f>
        <v>115.89999999999999</v>
      </c>
      <c r="F9" s="13">
        <f t="shared" ref="F9:I9" si="3">(F8/2*1.9)</f>
        <v>133</v>
      </c>
      <c r="G9" s="13">
        <f t="shared" si="3"/>
        <v>138.69999999999999</v>
      </c>
      <c r="H9" s="13">
        <f t="shared" si="3"/>
        <v>133</v>
      </c>
      <c r="I9" s="13">
        <f t="shared" si="3"/>
        <v>115.89999999999999</v>
      </c>
      <c r="J9" s="13"/>
      <c r="L9" s="14"/>
    </row>
    <row r="10" spans="1:12" ht="15.75" thickBot="1" x14ac:dyDescent="0.3">
      <c r="A10" s="2"/>
      <c r="B10" s="2" t="s">
        <v>4</v>
      </c>
      <c r="C10" s="15"/>
      <c r="D10" s="15"/>
      <c r="E10" s="15">
        <f t="shared" ref="E10:F10" si="4">(E8/2*2.7)</f>
        <v>164.70000000000002</v>
      </c>
      <c r="F10" s="15">
        <f t="shared" si="4"/>
        <v>189</v>
      </c>
      <c r="G10" s="15">
        <f t="shared" ref="G10" si="5">(G8/2*2.7)</f>
        <v>197.10000000000002</v>
      </c>
      <c r="H10" s="15">
        <f>(H8/2*2.7)</f>
        <v>189</v>
      </c>
      <c r="I10" s="15">
        <f>(I8/2*2.7)</f>
        <v>164.70000000000002</v>
      </c>
      <c r="J10" s="15"/>
      <c r="L10" s="16"/>
    </row>
    <row r="11" spans="1:12" x14ac:dyDescent="0.25">
      <c r="A11" s="17"/>
      <c r="B11" s="17"/>
      <c r="C11" s="29">
        <v>0</v>
      </c>
      <c r="D11" s="29">
        <v>0</v>
      </c>
      <c r="E11" s="29">
        <v>3</v>
      </c>
      <c r="F11" s="29">
        <v>3</v>
      </c>
      <c r="G11" s="29">
        <v>3</v>
      </c>
      <c r="H11" s="29">
        <v>3</v>
      </c>
      <c r="I11" s="29">
        <v>0</v>
      </c>
      <c r="J11" s="29">
        <v>0</v>
      </c>
      <c r="L11" s="29">
        <v>0</v>
      </c>
    </row>
    <row r="12" spans="1:12" ht="15.75" thickBot="1" x14ac:dyDescent="0.3">
      <c r="A12" s="20"/>
      <c r="B12" s="20"/>
      <c r="C12" s="20"/>
      <c r="D12" s="20"/>
      <c r="E12" s="20"/>
      <c r="F12" s="20"/>
      <c r="G12" s="20"/>
      <c r="H12" s="20"/>
      <c r="I12" s="20"/>
      <c r="J12" s="20"/>
      <c r="L12" s="20"/>
    </row>
    <row r="13" spans="1:12" x14ac:dyDescent="0.25">
      <c r="A13" s="11" t="s">
        <v>6</v>
      </c>
      <c r="B13" s="11" t="s">
        <v>2</v>
      </c>
      <c r="C13" s="12">
        <f>SUM(C4,6)</f>
        <v>46</v>
      </c>
      <c r="D13" s="12">
        <f t="shared" ref="D13:L13" si="6">SUM(D4,6)</f>
        <v>61</v>
      </c>
      <c r="E13" s="12">
        <f t="shared" si="6"/>
        <v>78</v>
      </c>
      <c r="F13" s="12">
        <f t="shared" si="6"/>
        <v>96</v>
      </c>
      <c r="G13" s="12">
        <f t="shared" si="6"/>
        <v>102</v>
      </c>
      <c r="H13" s="12">
        <f t="shared" si="6"/>
        <v>96</v>
      </c>
      <c r="I13" s="12">
        <f t="shared" si="6"/>
        <v>78</v>
      </c>
      <c r="J13" s="12">
        <f t="shared" si="6"/>
        <v>46</v>
      </c>
      <c r="L13" s="12">
        <f t="shared" si="6"/>
        <v>46</v>
      </c>
    </row>
    <row r="14" spans="1:12" x14ac:dyDescent="0.25">
      <c r="A14" s="2"/>
      <c r="B14" s="2" t="s">
        <v>3</v>
      </c>
      <c r="C14" s="13">
        <f>(C13/2*1.9)</f>
        <v>43.699999999999996</v>
      </c>
      <c r="D14" s="13">
        <f t="shared" ref="D14:L14" si="7">(D13/2*1.9)</f>
        <v>57.949999999999996</v>
      </c>
      <c r="E14" s="13">
        <f t="shared" si="7"/>
        <v>74.099999999999994</v>
      </c>
      <c r="F14" s="13">
        <f t="shared" si="7"/>
        <v>91.199999999999989</v>
      </c>
      <c r="G14" s="13">
        <f t="shared" si="7"/>
        <v>96.899999999999991</v>
      </c>
      <c r="H14" s="13">
        <f t="shared" si="7"/>
        <v>91.199999999999989</v>
      </c>
      <c r="I14" s="13">
        <f t="shared" si="7"/>
        <v>74.099999999999994</v>
      </c>
      <c r="J14" s="13">
        <f t="shared" si="7"/>
        <v>43.699999999999996</v>
      </c>
      <c r="L14" s="13">
        <f t="shared" si="7"/>
        <v>43.699999999999996</v>
      </c>
    </row>
    <row r="15" spans="1:12" ht="15.75" thickBot="1" x14ac:dyDescent="0.3">
      <c r="A15" s="2"/>
      <c r="B15" s="2" t="s">
        <v>4</v>
      </c>
      <c r="C15" s="15">
        <f t="shared" ref="C15:F15" si="8">(C13/2*2.7)</f>
        <v>62.1</v>
      </c>
      <c r="D15" s="15">
        <f t="shared" si="8"/>
        <v>82.350000000000009</v>
      </c>
      <c r="E15" s="15">
        <f t="shared" si="8"/>
        <v>105.30000000000001</v>
      </c>
      <c r="F15" s="15">
        <f t="shared" si="8"/>
        <v>129.60000000000002</v>
      </c>
      <c r="G15" s="15">
        <f>(G13/2*2.7)</f>
        <v>137.70000000000002</v>
      </c>
      <c r="H15" s="15">
        <f>(H13/2*2.7)</f>
        <v>129.60000000000002</v>
      </c>
      <c r="I15" s="15">
        <f>(I13/2*2.7)</f>
        <v>105.30000000000001</v>
      </c>
      <c r="J15" s="15">
        <f>(J13/2*2.7)</f>
        <v>62.1</v>
      </c>
      <c r="L15" s="16">
        <f>(L13/2*2.7)</f>
        <v>62.1</v>
      </c>
    </row>
    <row r="16" spans="1:12" ht="15.75" thickBot="1" x14ac:dyDescent="0.3">
      <c r="A16" s="17" t="s">
        <v>14</v>
      </c>
      <c r="B16" s="17"/>
      <c r="C16" s="29">
        <v>0</v>
      </c>
      <c r="D16" s="29">
        <v>0</v>
      </c>
      <c r="E16" s="29">
        <v>3</v>
      </c>
      <c r="F16" s="29">
        <v>3</v>
      </c>
      <c r="G16" s="29">
        <v>3</v>
      </c>
      <c r="H16" s="29">
        <v>3</v>
      </c>
      <c r="I16" s="29">
        <v>0</v>
      </c>
      <c r="J16" s="29">
        <v>0</v>
      </c>
      <c r="L16" s="21">
        <v>0</v>
      </c>
    </row>
    <row r="17" spans="1:12" x14ac:dyDescent="0.25">
      <c r="A17" s="11" t="s">
        <v>7</v>
      </c>
      <c r="B17" s="11" t="s">
        <v>2</v>
      </c>
      <c r="C17" s="12"/>
      <c r="D17" s="12"/>
      <c r="E17" s="12">
        <f>SUM(E13,50)</f>
        <v>128</v>
      </c>
      <c r="F17" s="12">
        <f t="shared" ref="F17:I17" si="9">SUM(F13,50)</f>
        <v>146</v>
      </c>
      <c r="G17" s="12">
        <f t="shared" si="9"/>
        <v>152</v>
      </c>
      <c r="H17" s="12">
        <f t="shared" si="9"/>
        <v>146</v>
      </c>
      <c r="I17" s="12">
        <f t="shared" si="9"/>
        <v>128</v>
      </c>
      <c r="J17" s="12"/>
      <c r="L17" s="19"/>
    </row>
    <row r="18" spans="1:12" x14ac:dyDescent="0.25">
      <c r="A18" s="2"/>
      <c r="B18" s="2" t="s">
        <v>3</v>
      </c>
      <c r="C18" s="13"/>
      <c r="D18" s="13"/>
      <c r="E18" s="13">
        <f>(E17/2*1.9)</f>
        <v>121.6</v>
      </c>
      <c r="F18" s="13">
        <f t="shared" ref="F18:I18" si="10">(F17/2*1.9)</f>
        <v>138.69999999999999</v>
      </c>
      <c r="G18" s="13">
        <f t="shared" si="10"/>
        <v>144.4</v>
      </c>
      <c r="H18" s="13">
        <f t="shared" si="10"/>
        <v>138.69999999999999</v>
      </c>
      <c r="I18" s="13">
        <f t="shared" si="10"/>
        <v>121.6</v>
      </c>
      <c r="J18" s="13"/>
      <c r="L18" s="14"/>
    </row>
    <row r="19" spans="1:12" ht="15.75" thickBot="1" x14ac:dyDescent="0.3">
      <c r="A19" s="2"/>
      <c r="B19" s="2" t="s">
        <v>4</v>
      </c>
      <c r="C19" s="15"/>
      <c r="D19" s="15"/>
      <c r="E19" s="15">
        <f t="shared" ref="E19:F19" si="11">(E17/2*2.7)</f>
        <v>172.8</v>
      </c>
      <c r="F19" s="15">
        <f t="shared" si="11"/>
        <v>197.10000000000002</v>
      </c>
      <c r="G19" s="15">
        <f t="shared" ref="G19" si="12">(G17/2*2.7)</f>
        <v>205.20000000000002</v>
      </c>
      <c r="H19" s="15">
        <f>(H17/2*2.7)</f>
        <v>197.10000000000002</v>
      </c>
      <c r="I19" s="15">
        <f>(I17/2*2.7)</f>
        <v>172.8</v>
      </c>
      <c r="J19" s="15"/>
      <c r="L19" s="16"/>
    </row>
    <row r="20" spans="1:12" x14ac:dyDescent="0.25">
      <c r="A20" s="17" t="s">
        <v>14</v>
      </c>
      <c r="B20" s="17"/>
      <c r="C20" s="29">
        <v>0</v>
      </c>
      <c r="D20" s="29">
        <v>0</v>
      </c>
      <c r="E20" s="29">
        <v>3</v>
      </c>
      <c r="F20" s="29">
        <v>3</v>
      </c>
      <c r="G20" s="29">
        <v>3</v>
      </c>
      <c r="H20" s="29">
        <v>3</v>
      </c>
      <c r="I20" s="29">
        <v>0</v>
      </c>
      <c r="J20" s="29">
        <v>0</v>
      </c>
      <c r="L20" s="17">
        <v>0</v>
      </c>
    </row>
    <row r="21" spans="1:12" ht="15.75" thickBot="1" x14ac:dyDescent="0.3">
      <c r="A21" s="22"/>
      <c r="B21" s="22"/>
      <c r="C21" s="23"/>
      <c r="D21" s="23"/>
      <c r="E21" s="23"/>
      <c r="F21" s="23"/>
      <c r="G21" s="23"/>
      <c r="H21" s="23"/>
      <c r="I21" s="23"/>
      <c r="J21" s="23"/>
      <c r="L21" s="22"/>
    </row>
    <row r="22" spans="1:12" x14ac:dyDescent="0.25">
      <c r="A22" s="11" t="s">
        <v>8</v>
      </c>
      <c r="B22" s="11" t="s">
        <v>2</v>
      </c>
      <c r="C22" s="12">
        <f>(C13+7)</f>
        <v>53</v>
      </c>
      <c r="D22" s="12">
        <f t="shared" ref="D22:L22" si="13">(D13+7)</f>
        <v>68</v>
      </c>
      <c r="E22" s="12">
        <f t="shared" si="13"/>
        <v>85</v>
      </c>
      <c r="F22" s="12">
        <f t="shared" si="13"/>
        <v>103</v>
      </c>
      <c r="G22" s="12">
        <f t="shared" si="13"/>
        <v>109</v>
      </c>
      <c r="H22" s="12">
        <f t="shared" si="13"/>
        <v>103</v>
      </c>
      <c r="I22" s="12">
        <f t="shared" si="13"/>
        <v>85</v>
      </c>
      <c r="J22" s="12">
        <f t="shared" si="13"/>
        <v>53</v>
      </c>
      <c r="L22" s="12">
        <f t="shared" si="13"/>
        <v>53</v>
      </c>
    </row>
    <row r="23" spans="1:12" x14ac:dyDescent="0.25">
      <c r="A23" s="2"/>
      <c r="B23" s="2" t="s">
        <v>3</v>
      </c>
      <c r="C23" s="13">
        <f>(C22/2*1.9)</f>
        <v>50.349999999999994</v>
      </c>
      <c r="D23" s="13">
        <f t="shared" ref="D23:L23" si="14">(D22/2*1.9)</f>
        <v>64.599999999999994</v>
      </c>
      <c r="E23" s="13">
        <f t="shared" si="14"/>
        <v>80.75</v>
      </c>
      <c r="F23" s="13">
        <f t="shared" si="14"/>
        <v>97.85</v>
      </c>
      <c r="G23" s="13">
        <f t="shared" si="14"/>
        <v>103.55</v>
      </c>
      <c r="H23" s="13">
        <f t="shared" si="14"/>
        <v>97.85</v>
      </c>
      <c r="I23" s="13">
        <f t="shared" si="14"/>
        <v>80.75</v>
      </c>
      <c r="J23" s="13">
        <f t="shared" si="14"/>
        <v>50.349999999999994</v>
      </c>
      <c r="L23" s="13">
        <f t="shared" si="14"/>
        <v>50.349999999999994</v>
      </c>
    </row>
    <row r="24" spans="1:12" ht="15.75" thickBot="1" x14ac:dyDescent="0.3">
      <c r="A24" s="17" t="s">
        <v>14</v>
      </c>
      <c r="B24" s="17"/>
      <c r="C24" s="29">
        <v>0</v>
      </c>
      <c r="D24" s="29">
        <v>0</v>
      </c>
      <c r="E24" s="29">
        <v>3</v>
      </c>
      <c r="F24" s="29">
        <v>3</v>
      </c>
      <c r="G24" s="29">
        <v>3</v>
      </c>
      <c r="H24" s="29">
        <v>3</v>
      </c>
      <c r="I24" s="29">
        <v>0</v>
      </c>
      <c r="J24" s="29">
        <v>0</v>
      </c>
      <c r="L24" s="32">
        <v>0</v>
      </c>
    </row>
    <row r="25" spans="1:12" x14ac:dyDescent="0.25">
      <c r="A25" s="11" t="s">
        <v>9</v>
      </c>
      <c r="B25" s="11" t="s">
        <v>2</v>
      </c>
      <c r="C25" s="12"/>
      <c r="D25" s="12"/>
      <c r="E25" s="12">
        <f>SUM(E22,50)</f>
        <v>135</v>
      </c>
      <c r="F25" s="12">
        <f t="shared" ref="F25:I25" si="15">SUM(F22,50)</f>
        <v>153</v>
      </c>
      <c r="G25" s="12">
        <f t="shared" si="15"/>
        <v>159</v>
      </c>
      <c r="H25" s="12">
        <f t="shared" si="15"/>
        <v>153</v>
      </c>
      <c r="I25" s="12">
        <f t="shared" si="15"/>
        <v>135</v>
      </c>
      <c r="J25" s="12"/>
      <c r="L25" s="19"/>
    </row>
    <row r="26" spans="1:12" x14ac:dyDescent="0.25">
      <c r="A26" s="2"/>
      <c r="B26" s="2" t="s">
        <v>3</v>
      </c>
      <c r="C26" s="13"/>
      <c r="D26" s="13"/>
      <c r="E26" s="13">
        <f>(E25/2*1.9)</f>
        <v>128.25</v>
      </c>
      <c r="F26" s="13">
        <f t="shared" ref="F26:I26" si="16">(F25/2*1.9)</f>
        <v>145.35</v>
      </c>
      <c r="G26" s="13">
        <f t="shared" si="16"/>
        <v>151.04999999999998</v>
      </c>
      <c r="H26" s="13">
        <f t="shared" si="16"/>
        <v>145.35</v>
      </c>
      <c r="I26" s="13">
        <f t="shared" si="16"/>
        <v>128.25</v>
      </c>
      <c r="J26" s="13"/>
      <c r="L26" s="14"/>
    </row>
    <row r="27" spans="1:12" x14ac:dyDescent="0.25">
      <c r="A27" s="17" t="s">
        <v>14</v>
      </c>
      <c r="B27" s="17"/>
      <c r="C27" s="29">
        <v>0</v>
      </c>
      <c r="D27" s="29">
        <v>0</v>
      </c>
      <c r="E27" s="29">
        <v>3</v>
      </c>
      <c r="F27" s="29">
        <v>3</v>
      </c>
      <c r="G27" s="29">
        <v>3</v>
      </c>
      <c r="H27" s="29">
        <v>3</v>
      </c>
      <c r="I27" s="29">
        <v>0</v>
      </c>
      <c r="J27" s="29"/>
      <c r="L27" s="18"/>
    </row>
    <row r="28" spans="1:12" ht="15.75" thickBot="1" x14ac:dyDescent="0.3">
      <c r="A28" s="20"/>
      <c r="B28" s="20"/>
      <c r="C28" s="20"/>
      <c r="D28" s="20"/>
      <c r="E28" s="20"/>
      <c r="F28" s="20"/>
      <c r="G28" s="20"/>
      <c r="H28" s="20"/>
      <c r="I28" s="20"/>
      <c r="J28" s="20"/>
      <c r="L28" s="20"/>
    </row>
    <row r="29" spans="1:12" ht="15.75" thickBot="1" x14ac:dyDescent="0.3">
      <c r="A29" s="11" t="s">
        <v>10</v>
      </c>
      <c r="B29" s="11">
        <v>4</v>
      </c>
      <c r="C29" s="12">
        <f>(C4/2*4.3)</f>
        <v>86</v>
      </c>
      <c r="D29" s="12">
        <f t="shared" ref="D29:L29" si="17">(D4/2*4.3)</f>
        <v>118.25</v>
      </c>
      <c r="E29" s="12">
        <f t="shared" si="17"/>
        <v>154.79999999999998</v>
      </c>
      <c r="F29" s="12">
        <f t="shared" si="17"/>
        <v>193.5</v>
      </c>
      <c r="G29" s="12">
        <f t="shared" si="17"/>
        <v>206.39999999999998</v>
      </c>
      <c r="H29" s="12">
        <f t="shared" si="17"/>
        <v>193.5</v>
      </c>
      <c r="I29" s="12">
        <f t="shared" si="17"/>
        <v>154.79999999999998</v>
      </c>
      <c r="J29" s="12">
        <f t="shared" si="17"/>
        <v>86</v>
      </c>
      <c r="L29" s="12">
        <f t="shared" si="17"/>
        <v>86</v>
      </c>
    </row>
    <row r="30" spans="1:12" x14ac:dyDescent="0.25">
      <c r="A30" s="24" t="s">
        <v>11</v>
      </c>
      <c r="B30" s="25">
        <v>4</v>
      </c>
      <c r="C30" s="26"/>
      <c r="D30" s="27"/>
      <c r="E30" s="27">
        <f>(E8/2*4.3)</f>
        <v>262.3</v>
      </c>
      <c r="F30" s="27">
        <f t="shared" ref="F30:I30" si="18">(F8/2*4.3)</f>
        <v>301</v>
      </c>
      <c r="G30" s="27">
        <f t="shared" si="18"/>
        <v>313.89999999999998</v>
      </c>
      <c r="H30" s="27">
        <f t="shared" si="18"/>
        <v>301</v>
      </c>
      <c r="I30" s="27">
        <f t="shared" si="18"/>
        <v>262.3</v>
      </c>
      <c r="J30" s="27"/>
      <c r="L30" s="28"/>
    </row>
    <row r="31" spans="1:12" x14ac:dyDescent="0.25">
      <c r="A31" s="17" t="s">
        <v>14</v>
      </c>
      <c r="B31" s="17"/>
      <c r="C31" s="29">
        <v>0</v>
      </c>
      <c r="D31" s="29">
        <v>0</v>
      </c>
      <c r="E31" s="29">
        <v>3</v>
      </c>
      <c r="F31" s="29">
        <v>3</v>
      </c>
      <c r="G31" s="29">
        <v>3</v>
      </c>
      <c r="H31" s="29">
        <v>3</v>
      </c>
      <c r="I31" s="29">
        <v>0</v>
      </c>
      <c r="J31" s="29">
        <v>0</v>
      </c>
      <c r="L31" s="29">
        <v>0</v>
      </c>
    </row>
    <row r="33" spans="1:8" x14ac:dyDescent="0.25">
      <c r="A33" s="30"/>
      <c r="B33" s="30"/>
      <c r="C33" s="30"/>
    </row>
    <row r="34" spans="1:8" x14ac:dyDescent="0.25">
      <c r="A34" s="31" t="s">
        <v>20</v>
      </c>
      <c r="B34" s="30"/>
      <c r="C34" s="30"/>
    </row>
    <row r="35" spans="1:8" x14ac:dyDescent="0.25">
      <c r="A35" s="30" t="s">
        <v>15</v>
      </c>
      <c r="B35" s="30" t="s">
        <v>17</v>
      </c>
      <c r="C35" s="30"/>
    </row>
    <row r="36" spans="1:8" x14ac:dyDescent="0.25">
      <c r="A36" s="30"/>
      <c r="B36" s="30" t="s">
        <v>16</v>
      </c>
      <c r="C36" s="30"/>
      <c r="D36" s="33"/>
      <c r="E36" s="33"/>
      <c r="F36" s="33"/>
      <c r="G36" s="33"/>
      <c r="H36" s="33"/>
    </row>
    <row r="37" spans="1:8" x14ac:dyDescent="0.25">
      <c r="A37" s="33"/>
      <c r="B37" s="30" t="s">
        <v>19</v>
      </c>
      <c r="C37" s="30"/>
      <c r="D37" s="33"/>
      <c r="E37" s="33"/>
      <c r="F37" s="33"/>
      <c r="G37" s="33"/>
      <c r="H37" s="33"/>
    </row>
    <row r="38" spans="1:8" x14ac:dyDescent="0.25">
      <c r="A38" s="30" t="s">
        <v>18</v>
      </c>
      <c r="B38" s="30"/>
      <c r="C38" s="30"/>
      <c r="D38" s="33"/>
      <c r="E38" s="33"/>
      <c r="F38" s="33"/>
      <c r="G38" s="33"/>
      <c r="H38" s="33"/>
    </row>
    <row r="39" spans="1:8" x14ac:dyDescent="0.25">
      <c r="A39" s="30" t="s">
        <v>21</v>
      </c>
      <c r="B39" s="30"/>
      <c r="C39" s="30"/>
      <c r="D39" s="33"/>
      <c r="E39" s="33"/>
      <c r="F39" s="33"/>
      <c r="G39" s="33"/>
      <c r="H39" s="33"/>
    </row>
    <row r="40" spans="1:8" x14ac:dyDescent="0.25">
      <c r="A40" s="33" t="s">
        <v>22</v>
      </c>
      <c r="B40" s="33"/>
      <c r="C40" s="33"/>
      <c r="D40" s="33"/>
      <c r="E40" s="33"/>
      <c r="F40" s="33"/>
      <c r="G40" s="33"/>
      <c r="H40" s="33"/>
    </row>
    <row r="41" spans="1:8" x14ac:dyDescent="0.25">
      <c r="A41" s="30" t="s">
        <v>12</v>
      </c>
      <c r="B41" s="30"/>
      <c r="C41" s="30"/>
      <c r="D41" s="33"/>
      <c r="E41" s="33"/>
      <c r="F41" s="33"/>
      <c r="G41" s="33"/>
      <c r="H41" s="33"/>
    </row>
    <row r="42" spans="1:8" x14ac:dyDescent="0.25">
      <c r="A42" s="30" t="s">
        <v>13</v>
      </c>
      <c r="B42" s="30"/>
      <c r="C42" s="30"/>
      <c r="D42" s="33"/>
      <c r="E42" s="33"/>
      <c r="F42" s="33"/>
      <c r="G42" s="33"/>
      <c r="H42" s="33"/>
    </row>
    <row r="43" spans="1:8" x14ac:dyDescent="0.25">
      <c r="A43" s="33"/>
      <c r="B43" s="33"/>
      <c r="C43" s="33"/>
      <c r="D43" s="33"/>
      <c r="E43" s="33"/>
      <c r="F43" s="33"/>
      <c r="G43" s="33"/>
      <c r="H43" s="33"/>
    </row>
    <row r="44" spans="1:8" x14ac:dyDescent="0.25">
      <c r="A44" s="33"/>
      <c r="B44" s="33"/>
      <c r="C44" s="33"/>
      <c r="D44" s="33"/>
      <c r="E44" s="33"/>
      <c r="F44" s="33"/>
      <c r="G44" s="33"/>
      <c r="H44" s="33"/>
    </row>
    <row r="45" spans="1:8" ht="18.75" x14ac:dyDescent="0.3">
      <c r="A45" s="34"/>
      <c r="B45" s="35"/>
      <c r="C45" s="35"/>
      <c r="D45" s="35"/>
      <c r="E45" s="35"/>
      <c r="F45" s="35"/>
      <c r="G45" s="35"/>
    </row>
  </sheetData>
  <pageMargins left="0.7" right="0.7" top="0.75" bottom="0.75" header="0.3" footer="0.3"/>
  <pageSetup paperSize="9" scale="7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2025-03-20T11:35:33Z</dcterms:modified>
</cp:coreProperties>
</file>
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SKARLI\Downloads\"/>
    </mc:Choice>
  </mc:AlternateContent>
  <bookViews>
    <workbookView xWindow="0" yWindow="0" windowWidth="23040" windowHeight="8652" tabRatio="811"/>
  </bookViews>
  <sheets>
    <sheet name="GRAND PARK LARA" sheetId="13" r:id="rId1"/>
  </sheets>
  <definedNames>
    <definedName name="_xlnm.Print_Area" localSheetId="0">'GRAND PARK LARA'!$A$1:$I$62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3" l="1"/>
  <c r="F19" i="13"/>
  <c r="G11" i="13"/>
  <c r="G10" i="13"/>
  <c r="H14" i="13"/>
  <c r="H11" i="13"/>
  <c r="H10" i="13"/>
  <c r="D11" i="13"/>
  <c r="E11" i="13"/>
  <c r="F11" i="13"/>
  <c r="D10" i="13"/>
  <c r="E10" i="13"/>
  <c r="F10" i="13"/>
  <c r="C11" i="13"/>
  <c r="C10" i="13"/>
  <c r="E22" i="13" l="1"/>
  <c r="D23" i="13"/>
  <c r="E23" i="13"/>
  <c r="F23" i="13"/>
  <c r="G23" i="13"/>
  <c r="H23" i="13"/>
  <c r="D24" i="13"/>
  <c r="E24" i="13"/>
  <c r="F24" i="13"/>
  <c r="G24" i="13"/>
  <c r="H24" i="13"/>
  <c r="D25" i="13"/>
  <c r="E25" i="13"/>
  <c r="F25" i="13"/>
  <c r="G25" i="13"/>
  <c r="H25" i="13"/>
  <c r="C25" i="13"/>
  <c r="C24" i="13"/>
  <c r="C23" i="13"/>
  <c r="D28" i="13"/>
  <c r="E28" i="13"/>
  <c r="F28" i="13"/>
  <c r="G28" i="13"/>
  <c r="H28" i="13"/>
  <c r="D29" i="13"/>
  <c r="E29" i="13"/>
  <c r="F29" i="13"/>
  <c r="G29" i="13"/>
  <c r="H29" i="13"/>
  <c r="D30" i="13"/>
  <c r="E30" i="13"/>
  <c r="F30" i="13"/>
  <c r="G30" i="13"/>
  <c r="H30" i="13"/>
  <c r="D31" i="13"/>
  <c r="E31" i="13"/>
  <c r="F31" i="13"/>
  <c r="G31" i="13"/>
  <c r="H31" i="13"/>
  <c r="D32" i="13"/>
  <c r="E32" i="13"/>
  <c r="F32" i="13"/>
  <c r="G32" i="13"/>
  <c r="H32" i="13"/>
  <c r="D33" i="13"/>
  <c r="E33" i="13"/>
  <c r="F33" i="13"/>
  <c r="G33" i="13"/>
  <c r="H33" i="13"/>
  <c r="D34" i="13"/>
  <c r="E34" i="13"/>
  <c r="F34" i="13"/>
  <c r="G34" i="13"/>
  <c r="H34" i="13"/>
  <c r="D35" i="13"/>
  <c r="E35" i="13"/>
  <c r="F35" i="13"/>
  <c r="G35" i="13"/>
  <c r="H35" i="13"/>
  <c r="D36" i="13"/>
  <c r="E36" i="13"/>
  <c r="F36" i="13"/>
  <c r="G36" i="13"/>
  <c r="H36" i="13"/>
  <c r="D37" i="13"/>
  <c r="E37" i="13"/>
  <c r="F37" i="13"/>
  <c r="G37" i="13"/>
  <c r="H37" i="13"/>
  <c r="D38" i="13"/>
  <c r="E38" i="13"/>
  <c r="F38" i="13"/>
  <c r="G38" i="13"/>
  <c r="H38" i="13"/>
  <c r="D39" i="13"/>
  <c r="E39" i="13"/>
  <c r="F39" i="13"/>
  <c r="G39" i="13"/>
  <c r="H39" i="13"/>
  <c r="D40" i="13"/>
  <c r="E40" i="13"/>
  <c r="F40" i="13"/>
  <c r="G40" i="13"/>
  <c r="H40" i="13"/>
  <c r="D41" i="13"/>
  <c r="E41" i="13"/>
  <c r="F41" i="13"/>
  <c r="G41" i="13"/>
  <c r="H41" i="13"/>
  <c r="D42" i="13"/>
  <c r="E42" i="13"/>
  <c r="F42" i="13"/>
  <c r="G42" i="13"/>
  <c r="H42" i="13"/>
  <c r="C42" i="13"/>
  <c r="C40" i="13"/>
  <c r="C39" i="13"/>
  <c r="C37" i="13"/>
  <c r="C36" i="13"/>
  <c r="C35" i="13"/>
  <c r="C33" i="13"/>
  <c r="C32" i="13"/>
  <c r="C28" i="13"/>
  <c r="C31" i="13"/>
  <c r="C30" i="13"/>
  <c r="G16" i="13"/>
  <c r="H16" i="13"/>
  <c r="G17" i="13"/>
  <c r="H17" i="13"/>
  <c r="G18" i="13"/>
  <c r="H18" i="13"/>
  <c r="G19" i="13"/>
  <c r="H19" i="13"/>
  <c r="G20" i="13"/>
  <c r="H20" i="13"/>
  <c r="G21" i="13"/>
  <c r="H21" i="13"/>
  <c r="G22" i="13"/>
  <c r="H22" i="13"/>
  <c r="F16" i="13"/>
  <c r="F17" i="13"/>
  <c r="F18" i="13"/>
  <c r="D16" i="13"/>
  <c r="E16" i="13"/>
  <c r="D17" i="13"/>
  <c r="E17" i="13"/>
  <c r="D18" i="13"/>
  <c r="E18" i="13"/>
  <c r="D19" i="13"/>
  <c r="E19" i="13"/>
  <c r="D20" i="13"/>
  <c r="E20" i="13"/>
  <c r="D21" i="13"/>
  <c r="E21" i="13"/>
  <c r="D22" i="13"/>
  <c r="C21" i="13"/>
  <c r="C20" i="13"/>
  <c r="C17" i="13"/>
  <c r="C16" i="13"/>
  <c r="C22" i="13"/>
  <c r="C19" i="13"/>
  <c r="D26" i="13"/>
  <c r="E26" i="13"/>
  <c r="F26" i="13"/>
  <c r="G26" i="13"/>
  <c r="H26" i="13"/>
  <c r="C26" i="13"/>
  <c r="D14" i="13"/>
  <c r="E14" i="13"/>
  <c r="F14" i="13"/>
  <c r="G14" i="13"/>
  <c r="C14" i="13"/>
  <c r="C29" i="13"/>
  <c r="F20" i="13"/>
  <c r="F21" i="13"/>
  <c r="G13" i="13"/>
  <c r="G12" i="13"/>
  <c r="G9" i="13"/>
  <c r="C38" i="13"/>
  <c r="C41" i="13"/>
  <c r="C34" i="13"/>
  <c r="C18" i="13"/>
  <c r="D9" i="13"/>
  <c r="E9" i="13"/>
  <c r="F9" i="13"/>
  <c r="H9" i="13"/>
  <c r="D12" i="13"/>
  <c r="E12" i="13"/>
  <c r="F12" i="13"/>
  <c r="H12" i="13"/>
  <c r="D13" i="13"/>
  <c r="E13" i="13"/>
  <c r="F13" i="13"/>
  <c r="H13" i="13"/>
  <c r="C13" i="13"/>
  <c r="C12" i="13"/>
  <c r="C9" i="13"/>
</calcChain>
</file>

<file path=xl/sharedStrings.xml><?xml version="1.0" encoding="utf-8"?>
<sst xmlns="http://schemas.openxmlformats.org/spreadsheetml/2006/main" count="75" uniqueCount="65">
  <si>
    <t xml:space="preserve">                                     GRAND PARK LARA - 4+*</t>
  </si>
  <si>
    <t>ULTRA ALL INCLUSIVE</t>
  </si>
  <si>
    <t>ÇARPAN</t>
  </si>
  <si>
    <t>1. Dönem</t>
  </si>
  <si>
    <t>2. Dönem</t>
  </si>
  <si>
    <t>3. Dönem</t>
  </si>
  <si>
    <t>4. Dönem</t>
  </si>
  <si>
    <t>5. Dönem</t>
  </si>
  <si>
    <t>6. Dönem</t>
  </si>
  <si>
    <r>
      <t xml:space="preserve">STANDART ROOM / P.P. (R.O.H.)                </t>
    </r>
    <r>
      <rPr>
        <b/>
        <sz val="10"/>
        <color indexed="60"/>
        <rFont val="Calibri"/>
        <family val="2"/>
        <charset val="162"/>
      </rPr>
      <t xml:space="preserve">    </t>
    </r>
  </si>
  <si>
    <t>Min. 1,  Max. 2+1 (inf. dahil)</t>
  </si>
  <si>
    <t>DBL</t>
  </si>
  <si>
    <t>SNG</t>
  </si>
  <si>
    <t>1 ADL + 1 CHD (02-12,99)</t>
  </si>
  <si>
    <t>1 ADL + 2 CHD (02-12,99 + 02-12,99)</t>
  </si>
  <si>
    <t>2 ADL + 1 CHD (02-12,99)</t>
  </si>
  <si>
    <t xml:space="preserve">FAMILY DELUXE / P.P. (R.O.H.)                           </t>
  </si>
  <si>
    <t>Min. 1, Max. 3+1 / 4 (inf. dahil)</t>
  </si>
  <si>
    <t>1 ADULT</t>
  </si>
  <si>
    <t>Min. 2 öder</t>
  </si>
  <si>
    <t>2 Yatak Odası</t>
  </si>
  <si>
    <t>1 ADL + 3 CHD (02-12,99 + 02-12,99 + 02-12,99)</t>
  </si>
  <si>
    <r>
      <rPr>
        <b/>
        <sz val="9"/>
        <color indexed="30"/>
        <rFont val="Calibri"/>
        <family val="2"/>
        <charset val="162"/>
      </rPr>
      <t xml:space="preserve">2,4 </t>
    </r>
    <r>
      <rPr>
        <b/>
        <sz val="9"/>
        <rFont val="Calibri"/>
        <family val="2"/>
        <charset val="162"/>
      </rPr>
      <t>/ 2,5</t>
    </r>
  </si>
  <si>
    <t>2 ADULT</t>
  </si>
  <si>
    <t>2 ADL + 2 CHD (02-12,99 + 02-12,99)</t>
  </si>
  <si>
    <r>
      <rPr>
        <b/>
        <sz val="9"/>
        <color indexed="30"/>
        <rFont val="Calibri"/>
        <family val="2"/>
        <charset val="162"/>
      </rPr>
      <t>2,4</t>
    </r>
    <r>
      <rPr>
        <b/>
        <sz val="9"/>
        <color indexed="8"/>
        <rFont val="Calibri"/>
        <family val="2"/>
        <charset val="162"/>
      </rPr>
      <t xml:space="preserve"> / 2,5</t>
    </r>
  </si>
  <si>
    <t>3 ADULT</t>
  </si>
  <si>
    <t>3 ADL + 1 CHD (02-12,99)</t>
  </si>
  <si>
    <t>4 ADULT</t>
  </si>
  <si>
    <t xml:space="preserve">FAMILY ELITE / P.P. (R.O.H.)                           </t>
  </si>
  <si>
    <t>Min. 2, Max. 5+1 / 6 (inf. dahil)</t>
  </si>
  <si>
    <t>Min. 2  öder</t>
  </si>
  <si>
    <t xml:space="preserve">2 Yatak Odası + 1 Salon </t>
  </si>
  <si>
    <t>2 ADL + 3 CHD (02-12,99 + 02-12,99 + 02-12,99)</t>
  </si>
  <si>
    <t>2 ADL + 4 CHD (02-12,99 + 02-12,99 + 02-12,99 + 02-12,99)</t>
  </si>
  <si>
    <t>3 ADL + 2 CHD (02-12,99 + 02-12,99)</t>
  </si>
  <si>
    <t>3 ADL + 3 CHD (02-12,99 + 02-12,99 + 02-12,99)</t>
  </si>
  <si>
    <t>4 ADL + 1 CHD (02-12,99)</t>
  </si>
  <si>
    <t>4 ADL + 2 CHD (02-12,99 + 02-12,99)</t>
  </si>
  <si>
    <t>5 ADULT</t>
  </si>
  <si>
    <t>5 ADL + 1 CHD (02-12,99)</t>
  </si>
  <si>
    <t>6 ADULT</t>
  </si>
  <si>
    <t>Release Day</t>
  </si>
  <si>
    <t>Min. Stay</t>
  </si>
  <si>
    <r>
      <t xml:space="preserve">1,6 / </t>
    </r>
    <r>
      <rPr>
        <b/>
        <sz val="9"/>
        <color indexed="30"/>
        <rFont val="Calibri"/>
        <family val="2"/>
        <charset val="162"/>
      </rPr>
      <t>1,7</t>
    </r>
  </si>
  <si>
    <t>2025 YAZ - SAĞLIK TURIZMI EURO FİYATLARI</t>
  </si>
  <si>
    <t>01/04/2025- 20/04/2025</t>
  </si>
  <si>
    <t>21/04/2025 - 30/04/2025</t>
  </si>
  <si>
    <t>21/10/2025 - 31/10/2025</t>
  </si>
  <si>
    <t>01/05/2025 -15/05/2025</t>
  </si>
  <si>
    <t>16/05/2025 - 31/05/2025</t>
  </si>
  <si>
    <t>01/10/2025 - 20/10/2025</t>
  </si>
  <si>
    <t>01/06/2025 - 30/06/2025</t>
  </si>
  <si>
    <t>01/09/2025 - 30/09/2025</t>
  </si>
  <si>
    <t>· İş bu form ile topladığımız verileriniz Şirketimiz web sitesinde yer alan Aydınlatma Beyanı çerçevesinde toplanıp işlenmektedir.</t>
  </si>
  <si>
    <t xml:space="preserve">   Detay bilgi ve haklarınıza aşağıdaki linkten ulaşabilirsiniz.</t>
  </si>
  <si>
    <t xml:space="preserve">   https://www.corendonhotels.com/corendon-hotels/kurumsal/genel-aydinlatma-beyani</t>
  </si>
  <si>
    <t>Hotellerimizde Misafirlerinizi ağırlamaktan mutluluk duyacağımızı belirtir, iyi iş birliğimizin artarak devamını temenni ederiz.</t>
  </si>
  <si>
    <t>ULTRA ALL INCLUSIVE - EURO // SOR-SAT Fiyat Teklifimiz ekte bilgilerinize sunulmuştur.</t>
  </si>
  <si>
    <t>· Ekteki fiyat tablosunda belirtilen fiyatlarımıza KDV ve diğer tüm vergiler dahildir.</t>
  </si>
  <si>
    <t>· Faturalamada giriş günü T.C.M.B Döviz Alış kuru esastır.</t>
  </si>
  <si>
    <t>· Ödeme, Misafir girişinden 3 gün önce peşin olarak yapılır.</t>
  </si>
  <si>
    <t>· Rezervasyon öncesi müsaitlik sorulmasını rica ederiz.</t>
  </si>
  <si>
    <t>01/07/2025 - 31/08.2025</t>
  </si>
  <si>
    <t>Tabloda belirtilen fiyatlar, hiçbir şekilde son kullanıcı erişimine açık olan online satış platformlarına, Metasearch kanallarına, 3.parti satıcılara ve yatak bankalarına kullandırılamaz.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</si>
</sst>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[$€-407]"/>
    <numFmt numFmtId="165" formatCode="#,##0.00\ [$€-407]"/>
  </numFmts>
  <fonts count="30">
    <font>
      <sz val="10"/>
      <name val="Arial Tur"/>
      <charset val="162"/>
    </font>
    <font>
      <sz val="8"/>
      <name val="Arial Tur"/>
      <charset val="162"/>
    </font>
    <font>
      <sz val="11"/>
      <color indexed="8"/>
      <name val="Calibri"/>
      <family val="2"/>
      <charset val="162"/>
    </font>
    <font>
      <sz val="10"/>
      <name val="Helv"/>
      <charset val="204"/>
    </font>
    <font>
      <b/>
      <sz val="9"/>
      <name val="Calibri"/>
      <family val="2"/>
      <charset val="162"/>
    </font>
    <font>
      <b/>
      <sz val="10"/>
      <color indexed="60"/>
      <name val="Calibri"/>
      <family val="2"/>
      <charset val="162"/>
    </font>
    <font>
      <b/>
      <sz val="9"/>
      <color indexed="30"/>
      <name val="Calibri"/>
      <family val="2"/>
      <charset val="162"/>
    </font>
    <font>
      <b/>
      <sz val="9"/>
      <color indexed="8"/>
      <name val="Calibri"/>
      <family val="2"/>
      <charset val="162"/>
    </font>
    <font>
      <sz val="10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rgb="FFC00000"/>
      <name val="Calibri"/>
      <family val="2"/>
      <charset val="162"/>
      <scheme val="minor"/>
    </font>
    <font>
      <b/>
      <sz val="9"/>
      <color indexed="8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0070C0"/>
      <name val="Calibri"/>
      <family val="2"/>
      <charset val="162"/>
      <scheme val="minor"/>
    </font>
    <font>
      <b/>
      <sz val="9"/>
      <color theme="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u/>
      <sz val="11"/>
      <color rgb="FFC00000"/>
      <name val="Calibri"/>
      <family val="2"/>
      <charset val="162"/>
      <scheme val="minor"/>
    </font>
    <font>
      <sz val="10"/>
      <color theme="0"/>
      <name val="Arial Tur"/>
      <charset val="162"/>
    </font>
    <font>
      <sz val="9"/>
      <color theme="0"/>
      <name val="Calibri"/>
      <family val="2"/>
      <charset val="162"/>
      <scheme val="minor"/>
    </font>
    <font>
      <b/>
      <sz val="9"/>
      <color theme="4" tint="-0.249977111117893"/>
      <name val="Calibri"/>
      <family val="2"/>
      <charset val="162"/>
      <scheme val="minor"/>
    </font>
    <font>
      <u/>
      <sz val="10"/>
      <color theme="10"/>
      <name val="Arial Tur"/>
      <charset val="162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26" fillId="0" borderId="0" applyNumberFormat="0" applyFill="0" applyBorder="0" applyAlignment="0" applyProtection="0"/>
  </cellStyleXfs>
  <cellXfs count="115">
    <xf numFmtId="0" fontId="0" fillId="0" borderId="0" xfId="0"/>
    <xf numFmtId="0" fontId="9" fillId="2" borderId="0" xfId="0" applyFont="1" applyFill="1" applyAlignment="1">
      <alignment horizontal="right"/>
    </xf>
    <xf numFmtId="0" fontId="8" fillId="2" borderId="0" xfId="0" applyFont="1" applyFill="1"/>
    <xf numFmtId="0" fontId="10" fillId="2" borderId="2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1" fillId="2" borderId="0" xfId="0" applyFont="1" applyFill="1"/>
    <xf numFmtId="0" fontId="12" fillId="4" borderId="13" xfId="1" applyFont="1" applyFill="1" applyBorder="1"/>
    <xf numFmtId="0" fontId="13" fillId="2" borderId="2" xfId="1" applyFont="1" applyFill="1" applyBorder="1"/>
    <xf numFmtId="0" fontId="10" fillId="2" borderId="15" xfId="1" applyFont="1" applyFill="1" applyBorder="1"/>
    <xf numFmtId="0" fontId="10" fillId="2" borderId="3" xfId="0" applyFont="1" applyFill="1" applyBorder="1"/>
    <xf numFmtId="0" fontId="10" fillId="2" borderId="16" xfId="0" applyFont="1" applyFill="1" applyBorder="1"/>
    <xf numFmtId="0" fontId="10" fillId="2" borderId="9" xfId="0" applyFont="1" applyFill="1" applyBorder="1"/>
    <xf numFmtId="0" fontId="10" fillId="2" borderId="6" xfId="0" applyFont="1" applyFill="1" applyBorder="1"/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/>
    <xf numFmtId="0" fontId="10" fillId="2" borderId="20" xfId="0" applyFont="1" applyFill="1" applyBorder="1"/>
    <xf numFmtId="0" fontId="10" fillId="2" borderId="21" xfId="0" applyFont="1" applyFill="1" applyBorder="1"/>
    <xf numFmtId="0" fontId="10" fillId="3" borderId="18" xfId="0" applyFont="1" applyFill="1" applyBorder="1"/>
    <xf numFmtId="0" fontId="10" fillId="3" borderId="20" xfId="0" applyFont="1" applyFill="1" applyBorder="1"/>
    <xf numFmtId="0" fontId="10" fillId="3" borderId="19" xfId="0" applyFont="1" applyFill="1" applyBorder="1"/>
    <xf numFmtId="0" fontId="10" fillId="2" borderId="17" xfId="0" applyFont="1" applyFill="1" applyBorder="1" applyAlignment="1">
      <alignment horizontal="left"/>
    </xf>
    <xf numFmtId="0" fontId="10" fillId="2" borderId="13" xfId="0" applyFont="1" applyFill="1" applyBorder="1" applyAlignment="1">
      <alignment horizontal="left"/>
    </xf>
    <xf numFmtId="0" fontId="10" fillId="2" borderId="2" xfId="0" applyFont="1" applyFill="1" applyBorder="1"/>
    <xf numFmtId="0" fontId="10" fillId="2" borderId="11" xfId="0" applyFont="1" applyFill="1" applyBorder="1"/>
    <xf numFmtId="0" fontId="14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15" fillId="3" borderId="0" xfId="1" applyFont="1" applyFill="1" applyAlignment="1">
      <alignment horizontal="left" vertical="center"/>
    </xf>
    <xf numFmtId="0" fontId="10" fillId="3" borderId="2" xfId="0" applyFont="1" applyFill="1" applyBorder="1"/>
    <xf numFmtId="0" fontId="10" fillId="3" borderId="11" xfId="0" applyFont="1" applyFill="1" applyBorder="1"/>
    <xf numFmtId="0" fontId="10" fillId="3" borderId="17" xfId="0" applyFont="1" applyFill="1" applyBorder="1" applyAlignment="1">
      <alignment horizontal="left"/>
    </xf>
    <xf numFmtId="0" fontId="10" fillId="2" borderId="0" xfId="0" applyFont="1" applyFill="1"/>
    <xf numFmtId="0" fontId="10" fillId="3" borderId="9" xfId="0" applyFont="1" applyFill="1" applyBorder="1"/>
    <xf numFmtId="0" fontId="10" fillId="2" borderId="0" xfId="0" applyFont="1" applyFill="1" applyAlignment="1">
      <alignment horizontal="left"/>
    </xf>
    <xf numFmtId="0" fontId="10" fillId="3" borderId="0" xfId="0" applyFont="1" applyFill="1"/>
    <xf numFmtId="0" fontId="16" fillId="3" borderId="0" xfId="0" applyFont="1" applyFill="1"/>
    <xf numFmtId="0" fontId="10" fillId="3" borderId="2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7" fillId="3" borderId="3" xfId="1" applyFont="1" applyFill="1" applyBorder="1" applyAlignment="1">
      <alignment horizontal="center" vertical="center"/>
    </xf>
    <xf numFmtId="0" fontId="10" fillId="2" borderId="6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7" fillId="3" borderId="17" xfId="1" applyFont="1" applyFill="1" applyBorder="1" applyAlignment="1">
      <alignment horizontal="center" vertical="center"/>
    </xf>
    <xf numFmtId="0" fontId="17" fillId="3" borderId="18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165" fontId="13" fillId="2" borderId="10" xfId="1" applyNumberFormat="1" applyFont="1" applyFill="1" applyBorder="1" applyAlignment="1">
      <alignment horizontal="center"/>
    </xf>
    <xf numFmtId="165" fontId="17" fillId="3" borderId="23" xfId="1" applyNumberFormat="1" applyFont="1" applyFill="1" applyBorder="1" applyAlignment="1">
      <alignment horizontal="center"/>
    </xf>
    <xf numFmtId="165" fontId="17" fillId="3" borderId="8" xfId="1" applyNumberFormat="1" applyFont="1" applyFill="1" applyBorder="1" applyAlignment="1">
      <alignment horizontal="center"/>
    </xf>
    <xf numFmtId="165" fontId="17" fillId="3" borderId="24" xfId="1" applyNumberFormat="1" applyFont="1" applyFill="1" applyBorder="1" applyAlignment="1">
      <alignment horizontal="center"/>
    </xf>
    <xf numFmtId="165" fontId="10" fillId="2" borderId="12" xfId="1" applyNumberFormat="1" applyFont="1" applyFill="1" applyBorder="1" applyAlignment="1">
      <alignment horizontal="center"/>
    </xf>
    <xf numFmtId="165" fontId="10" fillId="2" borderId="6" xfId="0" applyNumberFormat="1" applyFont="1" applyFill="1" applyBorder="1" applyAlignment="1">
      <alignment horizontal="center"/>
    </xf>
    <xf numFmtId="165" fontId="10" fillId="2" borderId="3" xfId="0" applyNumberFormat="1" applyFont="1" applyFill="1" applyBorder="1" applyAlignment="1">
      <alignment horizontal="center"/>
    </xf>
    <xf numFmtId="165" fontId="10" fillId="2" borderId="4" xfId="0" applyNumberFormat="1" applyFont="1" applyFill="1" applyBorder="1" applyAlignment="1">
      <alignment horizontal="center"/>
    </xf>
    <xf numFmtId="165" fontId="10" fillId="2" borderId="24" xfId="0" applyNumberFormat="1" applyFont="1" applyFill="1" applyBorder="1" applyAlignment="1">
      <alignment horizontal="center"/>
    </xf>
    <xf numFmtId="165" fontId="10" fillId="2" borderId="8" xfId="0" applyNumberFormat="1" applyFont="1" applyFill="1" applyBorder="1" applyAlignment="1">
      <alignment horizontal="center"/>
    </xf>
    <xf numFmtId="165" fontId="17" fillId="3" borderId="14" xfId="0" applyNumberFormat="1" applyFont="1" applyFill="1" applyBorder="1" applyAlignment="1">
      <alignment horizontal="center"/>
    </xf>
    <xf numFmtId="165" fontId="17" fillId="3" borderId="7" xfId="0" applyNumberFormat="1" applyFont="1" applyFill="1" applyBorder="1" applyAlignment="1">
      <alignment horizontal="center"/>
    </xf>
    <xf numFmtId="165" fontId="17" fillId="3" borderId="25" xfId="0" applyNumberFormat="1" applyFont="1" applyFill="1" applyBorder="1" applyAlignment="1">
      <alignment horizontal="center"/>
    </xf>
    <xf numFmtId="165" fontId="10" fillId="3" borderId="7" xfId="0" applyNumberFormat="1" applyFont="1" applyFill="1" applyBorder="1" applyAlignment="1">
      <alignment horizontal="center"/>
    </xf>
    <xf numFmtId="165" fontId="10" fillId="3" borderId="8" xfId="0" applyNumberFormat="1" applyFont="1" applyFill="1" applyBorder="1" applyAlignment="1">
      <alignment horizontal="center"/>
    </xf>
    <xf numFmtId="165" fontId="10" fillId="3" borderId="23" xfId="0" applyNumberFormat="1" applyFont="1" applyFill="1" applyBorder="1" applyAlignment="1">
      <alignment horizontal="center"/>
    </xf>
    <xf numFmtId="165" fontId="10" fillId="3" borderId="12" xfId="0" applyNumberFormat="1" applyFont="1" applyFill="1" applyBorder="1" applyAlignment="1">
      <alignment horizontal="center"/>
    </xf>
    <xf numFmtId="165" fontId="10" fillId="3" borderId="14" xfId="0" applyNumberFormat="1" applyFont="1" applyFill="1" applyBorder="1" applyAlignment="1">
      <alignment horizontal="center"/>
    </xf>
    <xf numFmtId="165" fontId="10" fillId="2" borderId="7" xfId="0" applyNumberFormat="1" applyFont="1" applyFill="1" applyBorder="1" applyAlignment="1">
      <alignment horizontal="center"/>
    </xf>
    <xf numFmtId="165" fontId="10" fillId="2" borderId="14" xfId="0" applyNumberFormat="1" applyFont="1" applyFill="1" applyBorder="1" applyAlignment="1">
      <alignment horizontal="center"/>
    </xf>
    <xf numFmtId="165" fontId="10" fillId="2" borderId="12" xfId="0" applyNumberFormat="1" applyFont="1" applyFill="1" applyBorder="1" applyAlignment="1">
      <alignment horizontal="center"/>
    </xf>
    <xf numFmtId="164" fontId="19" fillId="2" borderId="0" xfId="2" applyNumberFormat="1" applyFont="1" applyFill="1" applyAlignment="1">
      <alignment horizontal="center"/>
    </xf>
    <xf numFmtId="0" fontId="12" fillId="4" borderId="25" xfId="1" applyFont="1" applyFill="1" applyBorder="1" applyAlignment="1">
      <alignment vertical="center"/>
    </xf>
    <xf numFmtId="164" fontId="12" fillId="4" borderId="5" xfId="2" applyNumberFormat="1" applyFont="1" applyFill="1" applyBorder="1" applyAlignment="1">
      <alignment horizontal="center" vertical="center"/>
    </xf>
    <xf numFmtId="164" fontId="12" fillId="4" borderId="13" xfId="1" applyNumberFormat="1" applyFont="1" applyFill="1" applyBorder="1" applyAlignment="1">
      <alignment horizontal="center" vertical="center"/>
    </xf>
    <xf numFmtId="0" fontId="17" fillId="5" borderId="6" xfId="1" applyFont="1" applyFill="1" applyBorder="1" applyAlignment="1">
      <alignment horizontal="center" vertical="center"/>
    </xf>
    <xf numFmtId="0" fontId="17" fillId="5" borderId="4" xfId="1" applyFont="1" applyFill="1" applyBorder="1" applyAlignment="1">
      <alignment horizontal="center" vertical="center"/>
    </xf>
    <xf numFmtId="0" fontId="17" fillId="5" borderId="5" xfId="1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/>
    </xf>
    <xf numFmtId="0" fontId="19" fillId="2" borderId="0" xfId="0" applyFont="1" applyFill="1"/>
    <xf numFmtId="0" fontId="23" fillId="0" borderId="0" xfId="0" applyFont="1"/>
    <xf numFmtId="0" fontId="24" fillId="2" borderId="0" xfId="0" applyFont="1" applyFill="1"/>
    <xf numFmtId="0" fontId="10" fillId="6" borderId="2" xfId="0" applyFont="1" applyFill="1" applyBorder="1" applyAlignment="1">
      <alignment horizontal="center"/>
    </xf>
    <xf numFmtId="165" fontId="25" fillId="6" borderId="23" xfId="1" applyNumberFormat="1" applyFont="1" applyFill="1" applyBorder="1" applyAlignment="1">
      <alignment horizontal="center"/>
    </xf>
    <xf numFmtId="165" fontId="25" fillId="6" borderId="8" xfId="1" applyNumberFormat="1" applyFont="1" applyFill="1" applyBorder="1" applyAlignment="1">
      <alignment horizontal="center"/>
    </xf>
    <xf numFmtId="165" fontId="25" fillId="6" borderId="4" xfId="0" applyNumberFormat="1" applyFont="1" applyFill="1" applyBorder="1" applyAlignment="1">
      <alignment horizontal="center"/>
    </xf>
    <xf numFmtId="165" fontId="25" fillId="6" borderId="14" xfId="0" applyNumberFormat="1" applyFont="1" applyFill="1" applyBorder="1" applyAlignment="1">
      <alignment horizontal="center"/>
    </xf>
    <xf numFmtId="0" fontId="28" fillId="0" borderId="0" xfId="0" applyFont="1"/>
    <xf numFmtId="0" fontId="15" fillId="7" borderId="0" xfId="0" applyFont="1" applyFill="1" applyAlignment="1"/>
    <xf numFmtId="0" fontId="27" fillId="7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/>
    </xf>
    <xf numFmtId="0" fontId="22" fillId="3" borderId="2" xfId="1" applyFont="1" applyFill="1" applyBorder="1" applyAlignment="1">
      <alignment horizontal="left" vertical="center"/>
    </xf>
    <xf numFmtId="0" fontId="15" fillId="3" borderId="11" xfId="1" applyFont="1" applyFill="1" applyBorder="1" applyAlignment="1">
      <alignment horizontal="left" vertical="center"/>
    </xf>
    <xf numFmtId="0" fontId="15" fillId="3" borderId="9" xfId="1" applyFont="1" applyFill="1" applyBorder="1" applyAlignment="1">
      <alignment horizontal="left" vertical="center"/>
    </xf>
    <xf numFmtId="0" fontId="20" fillId="2" borderId="0" xfId="0" applyFont="1" applyFill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/>
    </xf>
    <xf numFmtId="0" fontId="10" fillId="3" borderId="25" xfId="0" applyFont="1" applyFill="1" applyBorder="1" applyAlignment="1">
      <alignment horizontal="left"/>
    </xf>
    <xf numFmtId="0" fontId="21" fillId="2" borderId="2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2" fillId="4" borderId="13" xfId="1" applyFont="1" applyFill="1" applyBorder="1" applyAlignment="1">
      <alignment horizontal="left" vertical="center"/>
    </xf>
    <xf numFmtId="0" fontId="12" fillId="4" borderId="25" xfId="1" applyFont="1" applyFill="1" applyBorder="1" applyAlignment="1">
      <alignment horizontal="left" vertical="center"/>
    </xf>
    <xf numFmtId="0" fontId="18" fillId="3" borderId="20" xfId="0" quotePrefix="1" applyFont="1" applyFill="1" applyBorder="1" applyAlignment="1">
      <alignment horizontal="left"/>
    </xf>
    <xf numFmtId="0" fontId="18" fillId="3" borderId="22" xfId="0" quotePrefix="1" applyFont="1" applyFill="1" applyBorder="1" applyAlignment="1">
      <alignment horizontal="left"/>
    </xf>
    <xf numFmtId="0" fontId="18" fillId="3" borderId="12" xfId="0" quotePrefix="1" applyFont="1" applyFill="1" applyBorder="1" applyAlignment="1">
      <alignment horizontal="left"/>
    </xf>
    <xf numFmtId="0" fontId="27" fillId="7" borderId="0" xfId="0" applyFont="1" applyFill="1" applyAlignment="1">
      <alignment horizontal="left"/>
    </xf>
    <xf numFmtId="0" fontId="15" fillId="7" borderId="0" xfId="0" applyFont="1" applyFill="1" applyAlignment="1">
      <alignment horizontal="left"/>
    </xf>
    <xf numFmtId="0" fontId="29" fillId="7" borderId="0" xfId="3" applyFont="1" applyFill="1" applyAlignment="1">
      <alignment horizontal="left"/>
    </xf>
    <xf numFmtId="14" fontId="8" fillId="2" borderId="0" xfId="0" applyNumberFormat="1" applyFont="1" applyFill="1"/>
  </cellXfs>
  <cellStyles count="4">
    <cellStyle name="Köprü" xfId="3" builtinId="8"/>
    <cellStyle name="Normal" xfId="0" builtinId="0"/>
    <cellStyle name="Normal_Sayfa1" xfId="1"/>
    <cellStyle name="Normal_SERA EURO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1162050</xdr:colOff>
      <xdr:row>0</xdr:row>
      <xdr:rowOff>47625</xdr:rowOff>
    </xdr:from>
    <xdr:to>
      <xdr:col>8</xdr:col>
      <xdr:colOff>1600200</xdr:colOff>
      <xdr:row>1</xdr:row>
      <xdr:rowOff>123825</xdr:rowOff>
    </xdr:to>
    <xdr:pic>
      <xdr:nvPicPr>
        <xdr:cNvPr id="3651" name="Resim 2">
          <a:extLst>
            <a:ext uri="{FF2B5EF4-FFF2-40B4-BE49-F238E27FC236}">
              <a16:creationId xmlns:a16="http://schemas.microsoft.com/office/drawing/2014/main" id="{C879616F-618D-E438-6418-AC9EF4401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00" y="47625"/>
          <a:ext cx="19526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238125</xdr:rowOff>
    </xdr:from>
    <xdr:to>
      <xdr:col>0</xdr:col>
      <xdr:colOff>1847850</xdr:colOff>
      <xdr:row>1</xdr:row>
      <xdr:rowOff>133350</xdr:rowOff>
    </xdr:to>
    <xdr:pic>
      <xdr:nvPicPr>
        <xdr:cNvPr id="3652" name="Resim 1">
          <a:extLst>
            <a:ext uri="{FF2B5EF4-FFF2-40B4-BE49-F238E27FC236}">
              <a16:creationId xmlns:a16="http://schemas.microsoft.com/office/drawing/2014/main" id="{D60EC148-9A7B-912C-DD78-4536FE9F1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38125"/>
          <a:ext cx="17145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orendonhotels.com.tr/corendon-hotels/kurumsal/genel-aydinlatma-bey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topLeftCell="B1" zoomScaleNormal="100" workbookViewId="0">
      <selection activeCell="I5" sqref="I5"/>
    </sheetView>
  </sheetViews>
  <sheetFormatPr defaultRowHeight="13.2"/>
  <cols>
    <col min="1" max="1" width="44.109375" customWidth="1"/>
    <col min="2" max="2" width="6.6640625" customWidth="1"/>
    <col min="3" max="8" width="22.6640625" customWidth="1"/>
    <col min="9" max="9" width="26" customWidth="1"/>
  </cols>
  <sheetData>
    <row r="1" spans="1:9" ht="42.6" customHeight="1">
      <c r="A1" s="94" t="s">
        <v>0</v>
      </c>
      <c r="B1" s="94"/>
      <c r="C1" s="94"/>
      <c r="D1" s="94"/>
      <c r="E1" s="94"/>
      <c r="F1" s="94"/>
      <c r="G1" s="94"/>
      <c r="H1" s="94"/>
      <c r="I1" s="1"/>
    </row>
    <row r="2" spans="1:9" ht="20.399999999999999" customHeight="1">
      <c r="A2" s="98" t="s">
        <v>45</v>
      </c>
      <c r="B2" s="98"/>
      <c r="C2" s="98"/>
      <c r="D2" s="98"/>
      <c r="E2" s="98"/>
      <c r="F2" s="98"/>
      <c r="G2" s="98"/>
      <c r="H2" s="98"/>
      <c r="I2" s="98"/>
    </row>
    <row r="3" spans="1:9" ht="22.2" customHeight="1" thickBot="1">
      <c r="A3" s="2"/>
      <c r="B3" s="2"/>
      <c r="C3" s="2"/>
      <c r="D3" s="2"/>
      <c r="E3" s="2"/>
      <c r="F3" s="2"/>
      <c r="G3" s="2"/>
      <c r="H3" s="2"/>
      <c r="I3" s="2"/>
    </row>
    <row r="4" spans="1:9" ht="12.75" customHeight="1" thickBot="1">
      <c r="A4" s="95" t="s">
        <v>1</v>
      </c>
      <c r="B4" s="103" t="s">
        <v>2</v>
      </c>
      <c r="C4" s="3" t="s">
        <v>3</v>
      </c>
      <c r="D4" s="3" t="s">
        <v>4</v>
      </c>
      <c r="E4" s="37" t="s">
        <v>5</v>
      </c>
      <c r="F4" s="37" t="s">
        <v>6</v>
      </c>
      <c r="G4" s="86" t="s">
        <v>7</v>
      </c>
      <c r="H4" s="82" t="s">
        <v>8</v>
      </c>
      <c r="I4" s="114">
        <v>45600</v>
      </c>
    </row>
    <row r="5" spans="1:9" ht="13.5" customHeight="1">
      <c r="A5" s="96"/>
      <c r="B5" s="104"/>
      <c r="C5" s="37" t="s">
        <v>46</v>
      </c>
      <c r="D5" s="38" t="s">
        <v>47</v>
      </c>
      <c r="E5" s="38" t="s">
        <v>49</v>
      </c>
      <c r="F5" s="38" t="s">
        <v>50</v>
      </c>
      <c r="G5" s="38" t="s">
        <v>52</v>
      </c>
      <c r="H5" s="99" t="s">
        <v>63</v>
      </c>
      <c r="I5" s="2"/>
    </row>
    <row r="6" spans="1:9" ht="13.5" customHeight="1" thickBot="1">
      <c r="A6" s="97"/>
      <c r="B6" s="105"/>
      <c r="C6" s="39"/>
      <c r="D6" s="39" t="s">
        <v>48</v>
      </c>
      <c r="E6" s="39"/>
      <c r="F6" s="40" t="s">
        <v>51</v>
      </c>
      <c r="G6" s="40" t="s">
        <v>53</v>
      </c>
      <c r="H6" s="100"/>
      <c r="I6" s="2"/>
    </row>
    <row r="7" spans="1:9" ht="4.95" customHeight="1" thickBot="1">
      <c r="A7" s="28"/>
      <c r="B7" s="25"/>
      <c r="C7" s="26"/>
      <c r="D7" s="26"/>
      <c r="E7" s="26"/>
      <c r="F7" s="26"/>
      <c r="G7" s="26"/>
      <c r="H7" s="27"/>
      <c r="I7" s="2"/>
    </row>
    <row r="8" spans="1:9" ht="16.5" customHeight="1" thickBot="1">
      <c r="A8" s="6" t="s">
        <v>9</v>
      </c>
      <c r="B8" s="76"/>
      <c r="C8" s="77">
        <v>50</v>
      </c>
      <c r="D8" s="77">
        <v>55</v>
      </c>
      <c r="E8" s="77">
        <v>60</v>
      </c>
      <c r="F8" s="77">
        <v>65</v>
      </c>
      <c r="G8" s="77">
        <v>85</v>
      </c>
      <c r="H8" s="78">
        <v>100</v>
      </c>
      <c r="I8" s="23" t="s">
        <v>10</v>
      </c>
    </row>
    <row r="9" spans="1:9" ht="12.75" customHeight="1">
      <c r="A9" s="7" t="s">
        <v>11</v>
      </c>
      <c r="B9" s="42">
        <v>2</v>
      </c>
      <c r="C9" s="54">
        <f t="shared" ref="C9:H9" si="0">SUM(C8*2)</f>
        <v>100</v>
      </c>
      <c r="D9" s="54">
        <f t="shared" si="0"/>
        <v>110</v>
      </c>
      <c r="E9" s="54">
        <f t="shared" si="0"/>
        <v>120</v>
      </c>
      <c r="F9" s="54">
        <f t="shared" si="0"/>
        <v>130</v>
      </c>
      <c r="G9" s="54">
        <f t="shared" si="0"/>
        <v>170</v>
      </c>
      <c r="H9" s="54">
        <f t="shared" si="0"/>
        <v>200</v>
      </c>
      <c r="I9" s="24"/>
    </row>
    <row r="10" spans="1:9" ht="12.75" customHeight="1">
      <c r="A10" s="8" t="s">
        <v>12</v>
      </c>
      <c r="B10" s="41" t="s">
        <v>44</v>
      </c>
      <c r="C10" s="55">
        <f>C8*1.6</f>
        <v>80</v>
      </c>
      <c r="D10" s="55">
        <f t="shared" ref="D10:F10" si="1">D8*1.6</f>
        <v>88</v>
      </c>
      <c r="E10" s="55">
        <f t="shared" si="1"/>
        <v>96</v>
      </c>
      <c r="F10" s="55">
        <f t="shared" si="1"/>
        <v>104</v>
      </c>
      <c r="G10" s="87">
        <f>G8*1.7</f>
        <v>144.5</v>
      </c>
      <c r="H10" s="87">
        <f>H8*1.7</f>
        <v>170</v>
      </c>
      <c r="I10" s="24"/>
    </row>
    <row r="11" spans="1:9" ht="12.75" customHeight="1">
      <c r="A11" s="9" t="s">
        <v>13</v>
      </c>
      <c r="B11" s="41" t="s">
        <v>44</v>
      </c>
      <c r="C11" s="56">
        <f>C8*1.6</f>
        <v>80</v>
      </c>
      <c r="D11" s="56">
        <f t="shared" ref="D11:F11" si="2">D8*1.6</f>
        <v>88</v>
      </c>
      <c r="E11" s="56">
        <f t="shared" si="2"/>
        <v>96</v>
      </c>
      <c r="F11" s="56">
        <f t="shared" si="2"/>
        <v>104</v>
      </c>
      <c r="G11" s="88">
        <f>G8*1.7</f>
        <v>144.5</v>
      </c>
      <c r="H11" s="88">
        <f>H8*1.7</f>
        <v>170</v>
      </c>
      <c r="I11" s="24"/>
    </row>
    <row r="12" spans="1:9" ht="12.75" customHeight="1">
      <c r="A12" s="10" t="s">
        <v>14</v>
      </c>
      <c r="B12" s="41">
        <v>2</v>
      </c>
      <c r="C12" s="57">
        <f t="shared" ref="C12:H12" si="3">C8*2</f>
        <v>100</v>
      </c>
      <c r="D12" s="57">
        <f t="shared" si="3"/>
        <v>110</v>
      </c>
      <c r="E12" s="57">
        <f t="shared" si="3"/>
        <v>120</v>
      </c>
      <c r="F12" s="57">
        <f t="shared" si="3"/>
        <v>130</v>
      </c>
      <c r="G12" s="57">
        <f t="shared" si="3"/>
        <v>170</v>
      </c>
      <c r="H12" s="57">
        <f t="shared" si="3"/>
        <v>200</v>
      </c>
      <c r="I12" s="24"/>
    </row>
    <row r="13" spans="1:9" ht="13.8" thickBot="1">
      <c r="A13" s="11" t="s">
        <v>15</v>
      </c>
      <c r="B13" s="43">
        <v>2</v>
      </c>
      <c r="C13" s="58">
        <f t="shared" ref="C13:H13" si="4">C8*2</f>
        <v>100</v>
      </c>
      <c r="D13" s="58">
        <f t="shared" si="4"/>
        <v>110</v>
      </c>
      <c r="E13" s="58">
        <f t="shared" si="4"/>
        <v>120</v>
      </c>
      <c r="F13" s="58">
        <f t="shared" si="4"/>
        <v>130</v>
      </c>
      <c r="G13" s="58">
        <f t="shared" si="4"/>
        <v>170</v>
      </c>
      <c r="H13" s="58">
        <f t="shared" si="4"/>
        <v>200</v>
      </c>
      <c r="I13" s="11"/>
    </row>
    <row r="14" spans="1:9" s="84" customFormat="1" ht="11.4" customHeight="1" thickBot="1">
      <c r="A14" s="83"/>
      <c r="B14" s="83"/>
      <c r="C14" s="75">
        <f t="shared" ref="C14:H14" si="5">C8*1.15</f>
        <v>57.499999999999993</v>
      </c>
      <c r="D14" s="75">
        <f t="shared" si="5"/>
        <v>63.249999999999993</v>
      </c>
      <c r="E14" s="75">
        <f t="shared" si="5"/>
        <v>69</v>
      </c>
      <c r="F14" s="75">
        <f t="shared" si="5"/>
        <v>74.75</v>
      </c>
      <c r="G14" s="75">
        <f t="shared" si="5"/>
        <v>97.749999999999986</v>
      </c>
      <c r="H14" s="75">
        <f t="shared" si="5"/>
        <v>114.99999999999999</v>
      </c>
      <c r="I14" s="85"/>
    </row>
    <row r="15" spans="1:9" ht="18" customHeight="1" thickBot="1">
      <c r="A15" s="106" t="s">
        <v>16</v>
      </c>
      <c r="B15" s="107"/>
      <c r="C15" s="77">
        <v>58</v>
      </c>
      <c r="D15" s="77">
        <v>63</v>
      </c>
      <c r="E15" s="77">
        <v>69</v>
      </c>
      <c r="F15" s="77">
        <v>75</v>
      </c>
      <c r="G15" s="77">
        <v>98</v>
      </c>
      <c r="H15" s="77">
        <v>115</v>
      </c>
      <c r="I15" s="23" t="s">
        <v>17</v>
      </c>
    </row>
    <row r="16" spans="1:9" ht="12.6" customHeight="1">
      <c r="A16" s="12" t="s">
        <v>18</v>
      </c>
      <c r="B16" s="44">
        <v>2</v>
      </c>
      <c r="C16" s="59">
        <f t="shared" ref="C16:H16" si="6">C15*2</f>
        <v>116</v>
      </c>
      <c r="D16" s="59">
        <f t="shared" si="6"/>
        <v>126</v>
      </c>
      <c r="E16" s="59">
        <f t="shared" si="6"/>
        <v>138</v>
      </c>
      <c r="F16" s="59">
        <f t="shared" si="6"/>
        <v>150</v>
      </c>
      <c r="G16" s="59">
        <f t="shared" si="6"/>
        <v>196</v>
      </c>
      <c r="H16" s="59">
        <f t="shared" si="6"/>
        <v>230</v>
      </c>
      <c r="I16" s="24" t="s">
        <v>19</v>
      </c>
    </row>
    <row r="17" spans="1:9" ht="12.6" customHeight="1">
      <c r="A17" s="10" t="s">
        <v>13</v>
      </c>
      <c r="B17" s="45">
        <v>2</v>
      </c>
      <c r="C17" s="60">
        <f t="shared" ref="C17:H17" si="7">C15*2</f>
        <v>116</v>
      </c>
      <c r="D17" s="60">
        <f t="shared" si="7"/>
        <v>126</v>
      </c>
      <c r="E17" s="60">
        <f t="shared" si="7"/>
        <v>138</v>
      </c>
      <c r="F17" s="60">
        <f t="shared" si="7"/>
        <v>150</v>
      </c>
      <c r="G17" s="60">
        <f t="shared" si="7"/>
        <v>196</v>
      </c>
      <c r="H17" s="60">
        <f t="shared" si="7"/>
        <v>230</v>
      </c>
      <c r="I17" s="24" t="s">
        <v>20</v>
      </c>
    </row>
    <row r="18" spans="1:9" ht="12.6" customHeight="1">
      <c r="A18" s="10" t="s">
        <v>14</v>
      </c>
      <c r="B18" s="46">
        <v>2</v>
      </c>
      <c r="C18" s="60">
        <f t="shared" ref="C18:H18" si="8">C15*2</f>
        <v>116</v>
      </c>
      <c r="D18" s="60">
        <f t="shared" si="8"/>
        <v>126</v>
      </c>
      <c r="E18" s="60">
        <f t="shared" si="8"/>
        <v>138</v>
      </c>
      <c r="F18" s="60">
        <f t="shared" si="8"/>
        <v>150</v>
      </c>
      <c r="G18" s="60">
        <f t="shared" si="8"/>
        <v>196</v>
      </c>
      <c r="H18" s="60">
        <f t="shared" si="8"/>
        <v>230</v>
      </c>
      <c r="I18" s="24"/>
    </row>
    <row r="19" spans="1:9" ht="12.6" customHeight="1" thickBot="1">
      <c r="A19" s="10" t="s">
        <v>21</v>
      </c>
      <c r="B19" s="46" t="s">
        <v>22</v>
      </c>
      <c r="C19" s="89">
        <f>C15*2.4</f>
        <v>139.19999999999999</v>
      </c>
      <c r="D19" s="89">
        <f>D15*2.4</f>
        <v>151.19999999999999</v>
      </c>
      <c r="E19" s="89">
        <f>E15*2.4</f>
        <v>165.6</v>
      </c>
      <c r="F19" s="89">
        <f>F15*2.4</f>
        <v>180</v>
      </c>
      <c r="G19" s="61">
        <f>G15*2.5</f>
        <v>245</v>
      </c>
      <c r="H19" s="61">
        <f>H15*2.5</f>
        <v>287.5</v>
      </c>
      <c r="I19" s="24"/>
    </row>
    <row r="20" spans="1:9" ht="12.75" customHeight="1">
      <c r="A20" s="13" t="s">
        <v>23</v>
      </c>
      <c r="B20" s="42">
        <v>2</v>
      </c>
      <c r="C20" s="62">
        <f t="shared" ref="C20:H20" si="9">C15*2</f>
        <v>116</v>
      </c>
      <c r="D20" s="62">
        <f t="shared" si="9"/>
        <v>126</v>
      </c>
      <c r="E20" s="62">
        <f t="shared" si="9"/>
        <v>138</v>
      </c>
      <c r="F20" s="62">
        <f t="shared" si="9"/>
        <v>150</v>
      </c>
      <c r="G20" s="62">
        <f t="shared" si="9"/>
        <v>196</v>
      </c>
      <c r="H20" s="62">
        <f t="shared" si="9"/>
        <v>230</v>
      </c>
      <c r="I20" s="24"/>
    </row>
    <row r="21" spans="1:9" ht="12.75" customHeight="1">
      <c r="A21" s="14" t="s">
        <v>15</v>
      </c>
      <c r="B21" s="47">
        <v>2</v>
      </c>
      <c r="C21" s="63">
        <f t="shared" ref="C21:H21" si="10">C15*2</f>
        <v>116</v>
      </c>
      <c r="D21" s="63">
        <f t="shared" si="10"/>
        <v>126</v>
      </c>
      <c r="E21" s="63">
        <f t="shared" si="10"/>
        <v>138</v>
      </c>
      <c r="F21" s="63">
        <f t="shared" si="10"/>
        <v>150</v>
      </c>
      <c r="G21" s="63">
        <f t="shared" si="10"/>
        <v>196</v>
      </c>
      <c r="H21" s="63">
        <f t="shared" si="10"/>
        <v>230</v>
      </c>
      <c r="I21" s="24"/>
    </row>
    <row r="22" spans="1:9" ht="12.75" customHeight="1" thickBot="1">
      <c r="A22" s="15" t="s">
        <v>24</v>
      </c>
      <c r="B22" s="48" t="s">
        <v>25</v>
      </c>
      <c r="C22" s="90">
        <f>C15*2.4</f>
        <v>139.19999999999999</v>
      </c>
      <c r="D22" s="90">
        <f>D15*2.4</f>
        <v>151.19999999999999</v>
      </c>
      <c r="E22" s="90">
        <f>E15*2.4</f>
        <v>165.6</v>
      </c>
      <c r="F22" s="90">
        <f>F15*2.4</f>
        <v>180</v>
      </c>
      <c r="G22" s="64">
        <f>G15*2.5</f>
        <v>245</v>
      </c>
      <c r="H22" s="64">
        <f>H15*2.5</f>
        <v>287.5</v>
      </c>
      <c r="I22" s="24"/>
    </row>
    <row r="23" spans="1:9" ht="12.75" customHeight="1">
      <c r="A23" s="13" t="s">
        <v>26</v>
      </c>
      <c r="B23" s="79">
        <v>2.65</v>
      </c>
      <c r="C23" s="65">
        <f t="shared" ref="C23:H23" si="11">C15*2.65</f>
        <v>153.69999999999999</v>
      </c>
      <c r="D23" s="65">
        <f t="shared" si="11"/>
        <v>166.95</v>
      </c>
      <c r="E23" s="65">
        <f t="shared" si="11"/>
        <v>182.85</v>
      </c>
      <c r="F23" s="65">
        <f t="shared" si="11"/>
        <v>198.75</v>
      </c>
      <c r="G23" s="65">
        <f t="shared" si="11"/>
        <v>259.7</v>
      </c>
      <c r="H23" s="65">
        <f t="shared" si="11"/>
        <v>304.75</v>
      </c>
      <c r="I23" s="24"/>
    </row>
    <row r="24" spans="1:9" ht="12.75" customHeight="1" thickBot="1">
      <c r="A24" s="15" t="s">
        <v>27</v>
      </c>
      <c r="B24" s="80">
        <v>2.65</v>
      </c>
      <c r="C24" s="64">
        <f t="shared" ref="C24:H24" si="12">C15*2.65</f>
        <v>153.69999999999999</v>
      </c>
      <c r="D24" s="64">
        <f t="shared" si="12"/>
        <v>166.95</v>
      </c>
      <c r="E24" s="64">
        <f t="shared" si="12"/>
        <v>182.85</v>
      </c>
      <c r="F24" s="64">
        <f t="shared" si="12"/>
        <v>198.75</v>
      </c>
      <c r="G24" s="64">
        <f t="shared" si="12"/>
        <v>259.7</v>
      </c>
      <c r="H24" s="64">
        <f t="shared" si="12"/>
        <v>304.75</v>
      </c>
      <c r="I24" s="24"/>
    </row>
    <row r="25" spans="1:9" ht="12.6" customHeight="1" thickBot="1">
      <c r="A25" s="16" t="s">
        <v>28</v>
      </c>
      <c r="B25" s="81">
        <v>3.3</v>
      </c>
      <c r="C25" s="66">
        <f t="shared" ref="C25:H25" si="13">C15*3.3</f>
        <v>191.39999999999998</v>
      </c>
      <c r="D25" s="66">
        <f t="shared" si="13"/>
        <v>207.89999999999998</v>
      </c>
      <c r="E25" s="66">
        <f t="shared" si="13"/>
        <v>227.7</v>
      </c>
      <c r="F25" s="66">
        <f t="shared" si="13"/>
        <v>247.5</v>
      </c>
      <c r="G25" s="66">
        <f t="shared" si="13"/>
        <v>323.39999999999998</v>
      </c>
      <c r="H25" s="66">
        <f t="shared" si="13"/>
        <v>379.5</v>
      </c>
      <c r="I25" s="11"/>
    </row>
    <row r="26" spans="1:9" s="84" customFormat="1" ht="12" customHeight="1" thickBot="1">
      <c r="A26" s="83"/>
      <c r="B26" s="83"/>
      <c r="C26" s="75">
        <f t="shared" ref="C26:H26" si="14">C8*1.4</f>
        <v>70</v>
      </c>
      <c r="D26" s="75">
        <f t="shared" si="14"/>
        <v>77</v>
      </c>
      <c r="E26" s="75">
        <f t="shared" si="14"/>
        <v>84</v>
      </c>
      <c r="F26" s="75">
        <f t="shared" si="14"/>
        <v>91</v>
      </c>
      <c r="G26" s="75">
        <f t="shared" si="14"/>
        <v>118.99999999999999</v>
      </c>
      <c r="H26" s="75">
        <f t="shared" si="14"/>
        <v>140</v>
      </c>
      <c r="I26" s="83"/>
    </row>
    <row r="27" spans="1:9" ht="17.399999999999999" customHeight="1" thickBot="1">
      <c r="A27" s="106" t="s">
        <v>29</v>
      </c>
      <c r="B27" s="107"/>
      <c r="C27" s="77">
        <v>70</v>
      </c>
      <c r="D27" s="77">
        <v>77</v>
      </c>
      <c r="E27" s="77">
        <v>84</v>
      </c>
      <c r="F27" s="77">
        <v>91</v>
      </c>
      <c r="G27" s="77">
        <v>119</v>
      </c>
      <c r="H27" s="77">
        <v>140</v>
      </c>
      <c r="I27" s="29" t="s">
        <v>30</v>
      </c>
    </row>
    <row r="28" spans="1:9" ht="12.75" customHeight="1">
      <c r="A28" s="13" t="s">
        <v>23</v>
      </c>
      <c r="B28" s="49">
        <v>2</v>
      </c>
      <c r="C28" s="67">
        <f t="shared" ref="C28:H28" si="15">C27*2</f>
        <v>140</v>
      </c>
      <c r="D28" s="67">
        <f t="shared" si="15"/>
        <v>154</v>
      </c>
      <c r="E28" s="67">
        <f t="shared" si="15"/>
        <v>168</v>
      </c>
      <c r="F28" s="67">
        <f t="shared" si="15"/>
        <v>182</v>
      </c>
      <c r="G28" s="67">
        <f t="shared" si="15"/>
        <v>238</v>
      </c>
      <c r="H28" s="67">
        <f t="shared" si="15"/>
        <v>280</v>
      </c>
      <c r="I28" s="30" t="s">
        <v>31</v>
      </c>
    </row>
    <row r="29" spans="1:9" ht="12.75" customHeight="1">
      <c r="A29" s="14" t="s">
        <v>15</v>
      </c>
      <c r="B29" s="47">
        <v>2</v>
      </c>
      <c r="C29" s="68">
        <f t="shared" ref="C29:H29" si="16">C27*2</f>
        <v>140</v>
      </c>
      <c r="D29" s="68">
        <f t="shared" si="16"/>
        <v>154</v>
      </c>
      <c r="E29" s="68">
        <f t="shared" si="16"/>
        <v>168</v>
      </c>
      <c r="F29" s="68">
        <f t="shared" si="16"/>
        <v>182</v>
      </c>
      <c r="G29" s="68">
        <f t="shared" si="16"/>
        <v>238</v>
      </c>
      <c r="H29" s="68">
        <f t="shared" si="16"/>
        <v>280</v>
      </c>
      <c r="I29" s="30" t="s">
        <v>32</v>
      </c>
    </row>
    <row r="30" spans="1:9" ht="12.75" customHeight="1">
      <c r="A30" s="17" t="s">
        <v>24</v>
      </c>
      <c r="B30" s="47">
        <v>2.25</v>
      </c>
      <c r="C30" s="69">
        <f t="shared" ref="C30:H30" si="17">C27*2.25</f>
        <v>157.5</v>
      </c>
      <c r="D30" s="69">
        <f t="shared" si="17"/>
        <v>173.25</v>
      </c>
      <c r="E30" s="69">
        <f t="shared" si="17"/>
        <v>189</v>
      </c>
      <c r="F30" s="69">
        <f t="shared" si="17"/>
        <v>204.75</v>
      </c>
      <c r="G30" s="69">
        <f t="shared" si="17"/>
        <v>267.75</v>
      </c>
      <c r="H30" s="69">
        <f t="shared" si="17"/>
        <v>315</v>
      </c>
      <c r="I30" s="30"/>
    </row>
    <row r="31" spans="1:9" ht="12.75" customHeight="1">
      <c r="A31" s="18" t="s">
        <v>33</v>
      </c>
      <c r="B31" s="50">
        <v>2.5</v>
      </c>
      <c r="C31" s="68">
        <f t="shared" ref="C31:H31" si="18">C27*2.5</f>
        <v>175</v>
      </c>
      <c r="D31" s="68">
        <f t="shared" si="18"/>
        <v>192.5</v>
      </c>
      <c r="E31" s="68">
        <f t="shared" si="18"/>
        <v>210</v>
      </c>
      <c r="F31" s="68">
        <f t="shared" si="18"/>
        <v>227.5</v>
      </c>
      <c r="G31" s="68">
        <f t="shared" si="18"/>
        <v>297.5</v>
      </c>
      <c r="H31" s="68">
        <f t="shared" si="18"/>
        <v>350</v>
      </c>
      <c r="I31" s="30"/>
    </row>
    <row r="32" spans="1:9" ht="12.75" customHeight="1" thickBot="1">
      <c r="A32" s="19" t="s">
        <v>34</v>
      </c>
      <c r="B32" s="51">
        <v>2.75</v>
      </c>
      <c r="C32" s="70">
        <f t="shared" ref="C32:H32" si="19">C27*2.75</f>
        <v>192.5</v>
      </c>
      <c r="D32" s="70">
        <f t="shared" si="19"/>
        <v>211.75</v>
      </c>
      <c r="E32" s="70">
        <f t="shared" si="19"/>
        <v>231</v>
      </c>
      <c r="F32" s="70">
        <f t="shared" si="19"/>
        <v>250.25</v>
      </c>
      <c r="G32" s="70">
        <f t="shared" si="19"/>
        <v>327.25</v>
      </c>
      <c r="H32" s="70">
        <f t="shared" si="19"/>
        <v>385</v>
      </c>
      <c r="I32" s="30"/>
    </row>
    <row r="33" spans="1:9" ht="12.75" customHeight="1">
      <c r="A33" s="31" t="s">
        <v>26</v>
      </c>
      <c r="B33" s="52">
        <v>2.4</v>
      </c>
      <c r="C33" s="67">
        <f t="shared" ref="C33:H33" si="20">C27*2.4</f>
        <v>168</v>
      </c>
      <c r="D33" s="67">
        <f t="shared" si="20"/>
        <v>184.79999999999998</v>
      </c>
      <c r="E33" s="67">
        <f t="shared" si="20"/>
        <v>201.6</v>
      </c>
      <c r="F33" s="67">
        <f t="shared" si="20"/>
        <v>218.4</v>
      </c>
      <c r="G33" s="67">
        <f t="shared" si="20"/>
        <v>285.59999999999997</v>
      </c>
      <c r="H33" s="67">
        <f t="shared" si="20"/>
        <v>336</v>
      </c>
      <c r="I33" s="30"/>
    </row>
    <row r="34" spans="1:9" ht="12.75" customHeight="1">
      <c r="A34" s="18" t="s">
        <v>27</v>
      </c>
      <c r="B34" s="50">
        <v>2.4</v>
      </c>
      <c r="C34" s="68">
        <f t="shared" ref="C34:H34" si="21">C27*2.4</f>
        <v>168</v>
      </c>
      <c r="D34" s="68">
        <f t="shared" si="21"/>
        <v>184.79999999999998</v>
      </c>
      <c r="E34" s="68">
        <f t="shared" si="21"/>
        <v>201.6</v>
      </c>
      <c r="F34" s="68">
        <f t="shared" si="21"/>
        <v>218.4</v>
      </c>
      <c r="G34" s="68">
        <f t="shared" si="21"/>
        <v>285.59999999999997</v>
      </c>
      <c r="H34" s="68">
        <f t="shared" si="21"/>
        <v>336</v>
      </c>
      <c r="I34" s="30"/>
    </row>
    <row r="35" spans="1:9" ht="12.75" customHeight="1">
      <c r="A35" s="18" t="s">
        <v>35</v>
      </c>
      <c r="B35" s="50">
        <v>2.65</v>
      </c>
      <c r="C35" s="68">
        <f t="shared" ref="C35:H35" si="22">C27*2.65</f>
        <v>185.5</v>
      </c>
      <c r="D35" s="68">
        <f t="shared" si="22"/>
        <v>204.04999999999998</v>
      </c>
      <c r="E35" s="68">
        <f t="shared" si="22"/>
        <v>222.6</v>
      </c>
      <c r="F35" s="68">
        <f t="shared" si="22"/>
        <v>241.15</v>
      </c>
      <c r="G35" s="68">
        <f t="shared" si="22"/>
        <v>315.34999999999997</v>
      </c>
      <c r="H35" s="68">
        <f t="shared" si="22"/>
        <v>371</v>
      </c>
      <c r="I35" s="30"/>
    </row>
    <row r="36" spans="1:9" ht="12.75" customHeight="1" thickBot="1">
      <c r="A36" s="19" t="s">
        <v>36</v>
      </c>
      <c r="B36" s="51">
        <v>2.9</v>
      </c>
      <c r="C36" s="70">
        <f t="shared" ref="C36:H36" si="23">C27*2.9</f>
        <v>203</v>
      </c>
      <c r="D36" s="70">
        <f t="shared" si="23"/>
        <v>223.29999999999998</v>
      </c>
      <c r="E36" s="70">
        <f t="shared" si="23"/>
        <v>243.6</v>
      </c>
      <c r="F36" s="70">
        <f t="shared" si="23"/>
        <v>263.89999999999998</v>
      </c>
      <c r="G36" s="70">
        <f t="shared" si="23"/>
        <v>345.09999999999997</v>
      </c>
      <c r="H36" s="70">
        <f t="shared" si="23"/>
        <v>406</v>
      </c>
      <c r="I36" s="30"/>
    </row>
    <row r="37" spans="1:9" ht="12.75" customHeight="1">
      <c r="A37" s="31" t="s">
        <v>28</v>
      </c>
      <c r="B37" s="52">
        <v>2.8</v>
      </c>
      <c r="C37" s="67">
        <f t="shared" ref="C37:H37" si="24">C27*2.8</f>
        <v>196</v>
      </c>
      <c r="D37" s="67">
        <f t="shared" si="24"/>
        <v>215.6</v>
      </c>
      <c r="E37" s="67">
        <f t="shared" si="24"/>
        <v>235.2</v>
      </c>
      <c r="F37" s="67">
        <f t="shared" si="24"/>
        <v>254.79999999999998</v>
      </c>
      <c r="G37" s="67">
        <f t="shared" si="24"/>
        <v>333.2</v>
      </c>
      <c r="H37" s="67">
        <f t="shared" si="24"/>
        <v>392</v>
      </c>
      <c r="I37" s="30"/>
    </row>
    <row r="38" spans="1:9" ht="12.75" customHeight="1">
      <c r="A38" s="18" t="s">
        <v>37</v>
      </c>
      <c r="B38" s="50">
        <v>2.8</v>
      </c>
      <c r="C38" s="68">
        <f t="shared" ref="C38:H38" si="25">C27*2.8</f>
        <v>196</v>
      </c>
      <c r="D38" s="68">
        <f t="shared" si="25"/>
        <v>215.6</v>
      </c>
      <c r="E38" s="68">
        <f t="shared" si="25"/>
        <v>235.2</v>
      </c>
      <c r="F38" s="68">
        <f t="shared" si="25"/>
        <v>254.79999999999998</v>
      </c>
      <c r="G38" s="68">
        <f t="shared" si="25"/>
        <v>333.2</v>
      </c>
      <c r="H38" s="68">
        <f t="shared" si="25"/>
        <v>392</v>
      </c>
      <c r="I38" s="30"/>
    </row>
    <row r="39" spans="1:9" ht="12.75" customHeight="1" thickBot="1">
      <c r="A39" s="20" t="s">
        <v>38</v>
      </c>
      <c r="B39" s="51">
        <v>3.05</v>
      </c>
      <c r="C39" s="71">
        <f t="shared" ref="C39:H39" si="26">C27*3.05</f>
        <v>213.5</v>
      </c>
      <c r="D39" s="71">
        <f t="shared" si="26"/>
        <v>234.85</v>
      </c>
      <c r="E39" s="71">
        <f t="shared" si="26"/>
        <v>256.2</v>
      </c>
      <c r="F39" s="71">
        <f t="shared" si="26"/>
        <v>277.55</v>
      </c>
      <c r="G39" s="71">
        <f t="shared" si="26"/>
        <v>362.95</v>
      </c>
      <c r="H39" s="71">
        <f t="shared" si="26"/>
        <v>427</v>
      </c>
      <c r="I39" s="30"/>
    </row>
    <row r="40" spans="1:9" ht="12.75" customHeight="1">
      <c r="A40" s="21" t="s">
        <v>39</v>
      </c>
      <c r="B40" s="42">
        <v>3.2</v>
      </c>
      <c r="C40" s="72">
        <f t="shared" ref="C40:H40" si="27">C27*3.2</f>
        <v>224</v>
      </c>
      <c r="D40" s="72">
        <f t="shared" si="27"/>
        <v>246.4</v>
      </c>
      <c r="E40" s="72">
        <f t="shared" si="27"/>
        <v>268.8</v>
      </c>
      <c r="F40" s="72">
        <f t="shared" si="27"/>
        <v>291.2</v>
      </c>
      <c r="G40" s="72">
        <f t="shared" si="27"/>
        <v>380.8</v>
      </c>
      <c r="H40" s="72">
        <f t="shared" si="27"/>
        <v>448</v>
      </c>
      <c r="I40" s="30"/>
    </row>
    <row r="41" spans="1:9" ht="12.75" customHeight="1" thickBot="1">
      <c r="A41" s="15" t="s">
        <v>40</v>
      </c>
      <c r="B41" s="43">
        <v>3.2</v>
      </c>
      <c r="C41" s="73">
        <f t="shared" ref="C41:H41" si="28">C27*3.2</f>
        <v>224</v>
      </c>
      <c r="D41" s="73">
        <f t="shared" si="28"/>
        <v>246.4</v>
      </c>
      <c r="E41" s="73">
        <f t="shared" si="28"/>
        <v>268.8</v>
      </c>
      <c r="F41" s="73">
        <f t="shared" si="28"/>
        <v>291.2</v>
      </c>
      <c r="G41" s="73">
        <f t="shared" si="28"/>
        <v>380.8</v>
      </c>
      <c r="H41" s="73">
        <f t="shared" si="28"/>
        <v>448</v>
      </c>
      <c r="I41" s="30"/>
    </row>
    <row r="42" spans="1:9" ht="13.5" customHeight="1" thickBot="1">
      <c r="A42" s="22" t="s">
        <v>41</v>
      </c>
      <c r="B42" s="53">
        <v>3.6</v>
      </c>
      <c r="C42" s="74">
        <f t="shared" ref="C42:H42" si="29">C27*3.6</f>
        <v>252</v>
      </c>
      <c r="D42" s="74">
        <f t="shared" si="29"/>
        <v>277.2</v>
      </c>
      <c r="E42" s="74">
        <f t="shared" si="29"/>
        <v>302.40000000000003</v>
      </c>
      <c r="F42" s="74">
        <f t="shared" si="29"/>
        <v>327.60000000000002</v>
      </c>
      <c r="G42" s="74">
        <f t="shared" si="29"/>
        <v>428.40000000000003</v>
      </c>
      <c r="H42" s="74">
        <f t="shared" si="29"/>
        <v>504</v>
      </c>
      <c r="I42" s="33"/>
    </row>
    <row r="43" spans="1:9" ht="5.25" customHeight="1" thickBot="1">
      <c r="A43" s="34"/>
      <c r="B43" s="34"/>
      <c r="C43" s="32"/>
      <c r="D43" s="32"/>
      <c r="E43" s="32"/>
      <c r="F43" s="32"/>
      <c r="G43" s="32"/>
      <c r="H43" s="32"/>
      <c r="I43" s="35"/>
    </row>
    <row r="44" spans="1:9" ht="12.75" customHeight="1" thickBot="1">
      <c r="A44" s="101" t="s">
        <v>42</v>
      </c>
      <c r="B44" s="102"/>
      <c r="C44" s="4">
        <v>3</v>
      </c>
      <c r="D44" s="4">
        <v>3</v>
      </c>
      <c r="E44" s="4">
        <v>3</v>
      </c>
      <c r="F44" s="4">
        <v>5</v>
      </c>
      <c r="G44" s="4">
        <v>5</v>
      </c>
      <c r="H44" s="4">
        <v>5</v>
      </c>
      <c r="I44" s="36"/>
    </row>
    <row r="45" spans="1:9" ht="12.75" customHeight="1" thickBot="1">
      <c r="A45" s="101" t="s">
        <v>43</v>
      </c>
      <c r="B45" s="102"/>
      <c r="C45" s="4">
        <v>3</v>
      </c>
      <c r="D45" s="4">
        <v>3</v>
      </c>
      <c r="E45" s="4">
        <v>3</v>
      </c>
      <c r="F45" s="4">
        <v>3</v>
      </c>
      <c r="G45" s="4">
        <v>5</v>
      </c>
      <c r="H45" s="4">
        <v>5</v>
      </c>
      <c r="I45" s="36"/>
    </row>
    <row r="46" spans="1:9" ht="12.75" customHeight="1">
      <c r="A46" s="5"/>
      <c r="B46" s="5"/>
      <c r="C46" s="5"/>
      <c r="D46" s="5"/>
      <c r="E46" s="5"/>
      <c r="F46" s="5"/>
      <c r="G46" s="5"/>
      <c r="H46" s="5"/>
      <c r="I46" s="5"/>
    </row>
    <row r="47" spans="1:9" ht="12.9" customHeight="1" thickBot="1">
      <c r="A47" s="108" t="s">
        <v>64</v>
      </c>
      <c r="B47" s="109"/>
      <c r="C47" s="109"/>
      <c r="D47" s="109"/>
      <c r="E47" s="109"/>
      <c r="F47" s="109"/>
      <c r="G47" s="109"/>
      <c r="H47" s="109"/>
      <c r="I47" s="110"/>
    </row>
    <row r="49" spans="1:4" s="91" customFormat="1" ht="13.2" customHeight="1">
      <c r="A49" s="111" t="s">
        <v>58</v>
      </c>
      <c r="B49" s="111"/>
      <c r="C49" s="111"/>
      <c r="D49" s="111"/>
    </row>
    <row r="50" spans="1:4" s="91" customFormat="1" ht="13.2" customHeight="1">
      <c r="A50" s="93" t="s">
        <v>59</v>
      </c>
      <c r="B50" s="93"/>
      <c r="C50" s="93"/>
      <c r="D50" s="93"/>
    </row>
    <row r="51" spans="1:4" s="91" customFormat="1" ht="13.2" customHeight="1">
      <c r="A51" s="93" t="s">
        <v>60</v>
      </c>
      <c r="B51" s="93"/>
      <c r="C51" s="93"/>
      <c r="D51" s="93"/>
    </row>
    <row r="52" spans="1:4" s="91" customFormat="1" ht="13.2" customHeight="1">
      <c r="A52" s="93" t="s">
        <v>61</v>
      </c>
      <c r="B52" s="93"/>
      <c r="C52" s="93"/>
      <c r="D52" s="93"/>
    </row>
    <row r="53" spans="1:4" s="91" customFormat="1" ht="13.2" customHeight="1">
      <c r="A53" s="111" t="s">
        <v>62</v>
      </c>
      <c r="B53" s="111"/>
      <c r="C53" s="111"/>
      <c r="D53" s="111"/>
    </row>
    <row r="54" spans="1:4" s="91" customFormat="1" ht="13.2" customHeight="1">
      <c r="A54" s="92" t="s">
        <v>54</v>
      </c>
      <c r="B54" s="92"/>
      <c r="C54" s="92"/>
      <c r="D54" s="92"/>
    </row>
    <row r="55" spans="1:4" s="91" customFormat="1" ht="13.2" customHeight="1">
      <c r="A55" s="112" t="s">
        <v>55</v>
      </c>
      <c r="B55" s="112"/>
      <c r="C55" s="112"/>
      <c r="D55" s="112"/>
    </row>
    <row r="56" spans="1:4" s="91" customFormat="1" ht="13.2" customHeight="1">
      <c r="A56" s="113" t="s">
        <v>56</v>
      </c>
      <c r="B56" s="113"/>
      <c r="C56" s="113"/>
      <c r="D56" s="113"/>
    </row>
    <row r="57" spans="1:4" s="91" customFormat="1" ht="13.2" customHeight="1">
      <c r="A57" s="111"/>
      <c r="B57" s="111"/>
      <c r="C57" s="111"/>
      <c r="D57" s="111"/>
    </row>
    <row r="58" spans="1:4" s="91" customFormat="1" ht="13.2" customHeight="1">
      <c r="A58" s="111" t="s">
        <v>57</v>
      </c>
      <c r="B58" s="111"/>
      <c r="C58" s="111"/>
      <c r="D58" s="111"/>
    </row>
  </sheetData>
  <mergeCells count="19">
    <mergeCell ref="A58:D58"/>
    <mergeCell ref="A53:D53"/>
    <mergeCell ref="A55:D55"/>
    <mergeCell ref="A56:D56"/>
    <mergeCell ref="A57:D57"/>
    <mergeCell ref="A50:D50"/>
    <mergeCell ref="A51:D51"/>
    <mergeCell ref="A52:D52"/>
    <mergeCell ref="A1:H1"/>
    <mergeCell ref="A4:A6"/>
    <mergeCell ref="A2:I2"/>
    <mergeCell ref="H5:H6"/>
    <mergeCell ref="A44:B44"/>
    <mergeCell ref="B4:B6"/>
    <mergeCell ref="A45:B45"/>
    <mergeCell ref="A15:B15"/>
    <mergeCell ref="A27:B27"/>
    <mergeCell ref="A47:I47"/>
    <mergeCell ref="A49:D49"/>
  </mergeCells>
  <phoneticPr fontId="1" type="noConversion"/>
  <hyperlinks>
    <hyperlink ref="A56" r:id="rId1" display="https://www.corendonhotels.com.tr/corendon-hotels/kurumsal/genel-aydinlatma-beyani"/>
  </hyperlinks>
  <pageMargins left="0.35433070866141736" right="0.35433070866141736" top="0.15748031496062992" bottom="0.15748031496062992" header="0.51181102362204722" footer="0.51181102362204722"/>
  <pageSetup paperSize="9" scale="67" orientation="landscape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69AD1B1170CB744841F2812FBF31EDE" ma:contentTypeVersion="15" ma:contentTypeDescription="Yeni belge oluşturun." ma:contentTypeScope="" ma:versionID="97a0494dcc86a214bf61cd0eb51cafce">
  <xsd:schema xmlns:xsd="http://www.w3.org/2001/XMLSchema" xmlns:xs="http://www.w3.org/2001/XMLSchema" xmlns:p="http://schemas.microsoft.com/office/2006/metadata/properties" xmlns:ns2="86137fea-04c9-4ec3-9f07-a3f8e8bdda6d" xmlns:ns3="92ca4a80-3390-47e2-b911-47a947df16b7" targetNamespace="http://schemas.microsoft.com/office/2006/metadata/properties" ma:root="true" ma:fieldsID="19351b61a1a7a58410e34d3e6a33469e" ns2:_="" ns3:_="">
    <xsd:import namespace="86137fea-04c9-4ec3-9f07-a3f8e8bdda6d"/>
    <xsd:import namespace="92ca4a80-3390-47e2-b911-47a947df16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37fea-04c9-4ec3-9f07-a3f8e8bdda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2cb4adbf-a56f-4e22-8501-2c9267fac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a4a80-3390-47e2-b911-47a947df16b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bebcd5-985e-47ab-b75e-86b15ce4049d}" ma:internalName="TaxCatchAll" ma:showField="CatchAllData" ma:web="92ca4a80-3390-47e2-b911-47a947df16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D368D2-DC4C-432B-B28F-55A73981E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137fea-04c9-4ec3-9f07-a3f8e8bdda6d"/>
    <ds:schemaRef ds:uri="92ca4a80-3390-47e2-b911-47a947df16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80B2CC-3351-4576-8286-6408F1DEA9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GRAND PARK LARA</vt:lpstr>
      <vt:lpstr>'GRAND PARK LARA'!Yazdırma_Alanı</vt:lpstr>
    </vt:vector>
  </TitlesOfParts>
  <Manager/>
  <Company>Serapsu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İKBAL TOKTAŞ</dc:creator>
  <cp:keywords/>
  <dc:description/>
  <cp:lastModifiedBy>Melis KÖREZLİOĞLU KARLI</cp:lastModifiedBy>
  <cp:revision/>
  <cp:lastPrinted>2024-11-04T08:56:45Z</cp:lastPrinted>
  <dcterms:created xsi:type="dcterms:W3CDTF">1999-11-26T09:25:49Z</dcterms:created>
  <dcterms:modified xsi:type="dcterms:W3CDTF">2024-11-04T09:49:37Z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